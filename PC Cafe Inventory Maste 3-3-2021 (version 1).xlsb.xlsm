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285829\Documents\"/>
    </mc:Choice>
  </mc:AlternateContent>
  <xr:revisionPtr revIDLastSave="0" documentId="8_{80EA615C-4758-4883-A5C9-2AC674B1E43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Inventory" sheetId="2" r:id="rId1"/>
    <sheet name="Computers" sheetId="3" r:id="rId2"/>
    <sheet name="Monitors" sheetId="4" r:id="rId3"/>
    <sheet name="Scanners-Printers" sheetId="5" r:id="rId4"/>
    <sheet name="Angie" sheetId="8" r:id="rId5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65" i="8" l="1"/>
  <c r="L62" i="8"/>
  <c r="L37" i="8" l="1"/>
  <c r="L63" i="8" l="1"/>
  <c r="L24" i="8"/>
  <c r="L22" i="8"/>
  <c r="L21" i="8"/>
  <c r="L20" i="8"/>
  <c r="L16" i="8"/>
  <c r="L8" i="8"/>
  <c r="L4" i="8"/>
  <c r="L3" i="8"/>
  <c r="M107" i="8"/>
  <c r="N107" i="8" s="1"/>
  <c r="N106" i="8"/>
  <c r="M106" i="8"/>
  <c r="M105" i="8"/>
  <c r="N105" i="8" s="1"/>
  <c r="M104" i="8"/>
  <c r="N104" i="8" s="1"/>
  <c r="M103" i="8"/>
  <c r="N103" i="8" s="1"/>
  <c r="M102" i="8"/>
  <c r="N102" i="8" s="1"/>
  <c r="N101" i="8"/>
  <c r="M101" i="8"/>
  <c r="N100" i="8"/>
  <c r="M100" i="8"/>
  <c r="M99" i="8"/>
  <c r="N99" i="8" s="1"/>
  <c r="M98" i="8"/>
  <c r="N98" i="8" s="1"/>
  <c r="M94" i="8"/>
  <c r="N94" i="8" s="1"/>
  <c r="N93" i="8"/>
  <c r="M93" i="8"/>
  <c r="M92" i="8"/>
  <c r="N92" i="8" s="1"/>
  <c r="M91" i="8"/>
  <c r="N91" i="8" s="1"/>
  <c r="N90" i="8"/>
  <c r="M90" i="8"/>
  <c r="M89" i="8"/>
  <c r="N89" i="8" s="1"/>
  <c r="M88" i="8"/>
  <c r="N88" i="8" s="1"/>
  <c r="N87" i="8"/>
  <c r="M87" i="8"/>
  <c r="M86" i="8"/>
  <c r="N86" i="8" s="1"/>
  <c r="M85" i="8"/>
  <c r="N85" i="8" s="1"/>
  <c r="N84" i="8"/>
  <c r="M84" i="8"/>
  <c r="M83" i="8"/>
  <c r="N83" i="8" s="1"/>
  <c r="M82" i="8"/>
  <c r="N82" i="8" s="1"/>
  <c r="N81" i="8"/>
  <c r="M81" i="8"/>
  <c r="M80" i="8"/>
  <c r="N80" i="8" s="1"/>
  <c r="M79" i="8"/>
  <c r="N79" i="8" s="1"/>
  <c r="N78" i="8"/>
  <c r="M78" i="8"/>
  <c r="M77" i="8"/>
  <c r="N77" i="8" s="1"/>
  <c r="M76" i="8"/>
  <c r="N76" i="8" s="1"/>
  <c r="N75" i="8"/>
  <c r="M75" i="8"/>
  <c r="M74" i="8"/>
  <c r="N74" i="8" s="1"/>
  <c r="M70" i="8"/>
  <c r="N70" i="8" s="1"/>
  <c r="N69" i="8"/>
  <c r="M69" i="8"/>
  <c r="N68" i="8"/>
  <c r="M68" i="8"/>
  <c r="M67" i="8"/>
  <c r="N67" i="8" s="1"/>
  <c r="M66" i="8"/>
  <c r="N66" i="8" s="1"/>
  <c r="M65" i="8"/>
  <c r="N65" i="8" s="1"/>
  <c r="M64" i="8"/>
  <c r="N64" i="8" s="1"/>
  <c r="N63" i="8"/>
  <c r="M63" i="8"/>
  <c r="N62" i="8"/>
  <c r="M62" i="8"/>
  <c r="M61" i="8"/>
  <c r="N61" i="8" s="1"/>
  <c r="M57" i="8"/>
  <c r="N57" i="8" s="1"/>
  <c r="M56" i="8"/>
  <c r="N56" i="8" s="1"/>
  <c r="M55" i="8"/>
  <c r="N55" i="8" s="1"/>
  <c r="N58" i="8" s="1"/>
  <c r="M51" i="8"/>
  <c r="N51" i="8" s="1"/>
  <c r="M50" i="8"/>
  <c r="N50" i="8" s="1"/>
  <c r="N49" i="8"/>
  <c r="M49" i="8"/>
  <c r="N48" i="8"/>
  <c r="M48" i="8"/>
  <c r="M47" i="8"/>
  <c r="N47" i="8" s="1"/>
  <c r="M46" i="8"/>
  <c r="N46" i="8" s="1"/>
  <c r="M45" i="8"/>
  <c r="N45" i="8" s="1"/>
  <c r="M44" i="8"/>
  <c r="N44" i="8" s="1"/>
  <c r="N43" i="8"/>
  <c r="M43" i="8"/>
  <c r="N42" i="8"/>
  <c r="M42" i="8"/>
  <c r="M41" i="8"/>
  <c r="N41" i="8" s="1"/>
  <c r="M40" i="8"/>
  <c r="N40" i="8" s="1"/>
  <c r="M39" i="8"/>
  <c r="N39" i="8" s="1"/>
  <c r="M38" i="8"/>
  <c r="N38" i="8" s="1"/>
  <c r="N37" i="8"/>
  <c r="M37" i="8"/>
  <c r="N36" i="8"/>
  <c r="M36" i="8"/>
  <c r="N32" i="8"/>
  <c r="M32" i="8"/>
  <c r="M31" i="8"/>
  <c r="N31" i="8" s="1"/>
  <c r="M30" i="8"/>
  <c r="N30" i="8" s="1"/>
  <c r="N29" i="8"/>
  <c r="M29" i="8"/>
  <c r="M28" i="8"/>
  <c r="N28" i="8" s="1"/>
  <c r="M27" i="8"/>
  <c r="N27" i="8" s="1"/>
  <c r="N26" i="8"/>
  <c r="M26" i="8"/>
  <c r="M25" i="8"/>
  <c r="N25" i="8" s="1"/>
  <c r="M24" i="8"/>
  <c r="N24" i="8" s="1"/>
  <c r="N23" i="8"/>
  <c r="M23" i="8"/>
  <c r="M22" i="8"/>
  <c r="N22" i="8" s="1"/>
  <c r="M21" i="8"/>
  <c r="N21" i="8" s="1"/>
  <c r="N20" i="8"/>
  <c r="M20" i="8"/>
  <c r="N16" i="8"/>
  <c r="M16" i="8"/>
  <c r="M15" i="8"/>
  <c r="N15" i="8" s="1"/>
  <c r="M14" i="8"/>
  <c r="N14" i="8" s="1"/>
  <c r="M13" i="8"/>
  <c r="N13" i="8" s="1"/>
  <c r="M12" i="8"/>
  <c r="N12" i="8" s="1"/>
  <c r="N11" i="8"/>
  <c r="M11" i="8"/>
  <c r="N10" i="8"/>
  <c r="M10" i="8"/>
  <c r="M9" i="8"/>
  <c r="N9" i="8" s="1"/>
  <c r="M8" i="8"/>
  <c r="N8" i="8" s="1"/>
  <c r="M7" i="8"/>
  <c r="N7" i="8" s="1"/>
  <c r="M6" i="8"/>
  <c r="N6" i="8" s="1"/>
  <c r="N5" i="8"/>
  <c r="M5" i="8"/>
  <c r="N4" i="8"/>
  <c r="M4" i="8"/>
  <c r="M3" i="8"/>
  <c r="N3" i="8" s="1"/>
  <c r="N95" i="8" l="1"/>
  <c r="N108" i="8"/>
  <c r="N17" i="8"/>
  <c r="N33" i="8"/>
  <c r="N52" i="8"/>
  <c r="N71" i="8"/>
  <c r="N109" i="8" l="1"/>
</calcChain>
</file>

<file path=xl/sharedStrings.xml><?xml version="1.0" encoding="utf-8"?>
<sst xmlns="http://schemas.openxmlformats.org/spreadsheetml/2006/main" count="329" uniqueCount="318">
  <si>
    <t>Barcode</t>
  </si>
  <si>
    <t>Product Description</t>
  </si>
  <si>
    <t>Quantity</t>
  </si>
  <si>
    <t>U024-016</t>
  </si>
  <si>
    <t>8PORTSWITCH</t>
  </si>
  <si>
    <t>CU881F</t>
  </si>
  <si>
    <t>U022-006</t>
  </si>
  <si>
    <t>P014-06N</t>
  </si>
  <si>
    <t>T-LBK462-BSB-R</t>
  </si>
  <si>
    <t>P004-18N-2C13</t>
  </si>
  <si>
    <t>CP88BC</t>
  </si>
  <si>
    <t>DAUBNBC084</t>
  </si>
  <si>
    <t>130W Power Adapters</t>
  </si>
  <si>
    <t>LAT5400</t>
  </si>
  <si>
    <t>Dell Latitude 5400</t>
  </si>
  <si>
    <t>LAT5470</t>
  </si>
  <si>
    <t>Dell Latitude 5470</t>
  </si>
  <si>
    <t>LAT5480</t>
  </si>
  <si>
    <t>Dell Latitude 5480</t>
  </si>
  <si>
    <t>LAT5490</t>
  </si>
  <si>
    <t>Dell Latitude 5490</t>
  </si>
  <si>
    <t>LAT7400</t>
  </si>
  <si>
    <t>LAT7450</t>
  </si>
  <si>
    <t>LAT7470</t>
  </si>
  <si>
    <t>LAT7480</t>
  </si>
  <si>
    <t>Dell Latitude 7400</t>
  </si>
  <si>
    <t>Dell Latitude 7450</t>
  </si>
  <si>
    <t>Dell Latitude 7470</t>
  </si>
  <si>
    <t>Dell Latitude 7480</t>
  </si>
  <si>
    <t>Mon</t>
  </si>
  <si>
    <t>KB216-BK-US/EU</t>
  </si>
  <si>
    <t>U022-007</t>
  </si>
  <si>
    <t>D27MAY19</t>
  </si>
  <si>
    <t>180W Charger</t>
  </si>
  <si>
    <t>USBCCABLES</t>
  </si>
  <si>
    <t>DELLDA300</t>
  </si>
  <si>
    <t>USB 3.0 HUB (4 Port)</t>
  </si>
  <si>
    <t>Dell-DW316</t>
  </si>
  <si>
    <t>P561-006</t>
  </si>
  <si>
    <t>DVITOVGAADAPT</t>
  </si>
  <si>
    <t>CU87AA</t>
  </si>
  <si>
    <t>5-10 ft Ethernet Cables</t>
  </si>
  <si>
    <t>GENERICWEBCAM</t>
  </si>
  <si>
    <t>200141I18</t>
  </si>
  <si>
    <t>CLICKDOCKS</t>
  </si>
  <si>
    <t>130WADAPT</t>
  </si>
  <si>
    <t>KB216BKUS</t>
  </si>
  <si>
    <t>5TO10ETHERNET</t>
  </si>
  <si>
    <t>DELLMINIANT</t>
  </si>
  <si>
    <t>WIREDSCAN</t>
  </si>
  <si>
    <t>ZEBRASCAN</t>
  </si>
  <si>
    <t>ZEBRASCANCHARGE</t>
  </si>
  <si>
    <t>180WADAPT</t>
  </si>
  <si>
    <t>LTPOWER</t>
  </si>
  <si>
    <t>05TFT1</t>
  </si>
  <si>
    <t>6FTSURGESTRIP</t>
  </si>
  <si>
    <t>MOUSEWIRED</t>
  </si>
  <si>
    <t>MINIPOWERADAPTR</t>
  </si>
  <si>
    <t>Power Adapters Male Reg-to-3 Round Female</t>
  </si>
  <si>
    <t>6 ft Power Surge Strip</t>
  </si>
  <si>
    <t>POWERCABLE610</t>
  </si>
  <si>
    <t>Power Cable - Dual End 6 to 10 feet</t>
  </si>
  <si>
    <t>Power Cable: 3 Round - Mickey Mouse</t>
  </si>
  <si>
    <t>Power Cable: 6 to 10 feet</t>
  </si>
  <si>
    <t>Keyboard: Wired Dell</t>
  </si>
  <si>
    <t>Charger: Laptop Power Adapter</t>
  </si>
  <si>
    <t xml:space="preserve">Scanner: Zebra DS8178 Wireless </t>
  </si>
  <si>
    <t>USB-C: Mobile Adapter</t>
  </si>
  <si>
    <t>Power Cable: Short Y-Cable</t>
  </si>
  <si>
    <t>CP88AE</t>
  </si>
  <si>
    <t>A3241880593N9</t>
  </si>
  <si>
    <t>PowerMic</t>
  </si>
  <si>
    <t>Signature Pad</t>
  </si>
  <si>
    <t>824T842269</t>
  </si>
  <si>
    <t>Credit Card Swipe</t>
  </si>
  <si>
    <t>740617264753</t>
  </si>
  <si>
    <t>740617277715</t>
  </si>
  <si>
    <t>740617262179</t>
  </si>
  <si>
    <t>2F430431</t>
  </si>
  <si>
    <t>CP88C5</t>
  </si>
  <si>
    <t>TK-407K</t>
  </si>
  <si>
    <t>SV231HDMIUA</t>
  </si>
  <si>
    <t>SV231DPU2</t>
  </si>
  <si>
    <t>KVM Switch 2 Port (HDMI)</t>
  </si>
  <si>
    <t>KVM Switch 4 Port (VGA)</t>
  </si>
  <si>
    <t>KVM Switch 2 Port (DP)</t>
  </si>
  <si>
    <t>OPTIPLEX3040</t>
  </si>
  <si>
    <t>OPTIPLEX3050</t>
  </si>
  <si>
    <t>OPTIPLEX3060</t>
  </si>
  <si>
    <t>OPTIPLEX3070</t>
  </si>
  <si>
    <t>Dell Optiplex 3040</t>
  </si>
  <si>
    <t>Dell Optiplex 3050</t>
  </si>
  <si>
    <t>Dell Optiplex 3060</t>
  </si>
  <si>
    <t>Dell Optiplex 3070</t>
  </si>
  <si>
    <t>OPTIPLEX9020</t>
  </si>
  <si>
    <t/>
  </si>
  <si>
    <t>Dell Optiplex 9020</t>
  </si>
  <si>
    <t>Charger: for Zebra DS8178 Wireless Scanner</t>
  </si>
  <si>
    <t>HDMI: 15 ft Cable</t>
  </si>
  <si>
    <t>Scanner: Wired Barcode Scanner (4308)</t>
  </si>
  <si>
    <t>USB: Zebra 7 ft Cable USB 3.0</t>
  </si>
  <si>
    <t>HDMI: HDMI Male to VGA Converter with USB Power</t>
  </si>
  <si>
    <t>USB: USB to Serial Adapter</t>
  </si>
  <si>
    <t>USB: Dell USB Slim DVD Drive</t>
  </si>
  <si>
    <t>Charger: Dell Mini Desktop Chargers</t>
  </si>
  <si>
    <t>Ethernet: 3 ft Ethernet Cables</t>
  </si>
  <si>
    <t>WebCam: Generic</t>
  </si>
  <si>
    <t xml:space="preserve">Webcam: Logitech C920 </t>
  </si>
  <si>
    <t>Ethernet: Network Switch - 8 Port</t>
  </si>
  <si>
    <t>Headset: Logitech H570e</t>
  </si>
  <si>
    <t>WebCam: Logitech 925e</t>
  </si>
  <si>
    <t>Ethernet: 15 ft Ethernet Cable</t>
  </si>
  <si>
    <t>USB 2.0 A/A Extension Cable</t>
  </si>
  <si>
    <t>USBB 2.0 A (Male)/ B(Male) Cable</t>
  </si>
  <si>
    <t>USB 3.0 A Male/ B Male Cable</t>
  </si>
  <si>
    <t>USB-C: USB-C to USB-C Cable</t>
  </si>
  <si>
    <t>DVI: DVI Male to VGA Female Adapter</t>
  </si>
  <si>
    <t>Wi-Fi: Dell Mini Antenna 1 Piece</t>
  </si>
  <si>
    <t>Wi-Fi: Dell Mini Dual Wireless Antenna (2 Connector)</t>
  </si>
  <si>
    <t>Mouse: Wired - Dell</t>
  </si>
  <si>
    <t>HDMI: 6 ft HDMI Cable</t>
  </si>
  <si>
    <t>Memory: Desktop RAM 8GB</t>
  </si>
  <si>
    <t>Memory: Desktop RAM 16GB</t>
  </si>
  <si>
    <t>Memory: Laptop RAM 8GB</t>
  </si>
  <si>
    <t>Memory: Laptop RAM 16GB</t>
  </si>
  <si>
    <t>DVI: 6 ft Cable</t>
  </si>
  <si>
    <t>CLICK IN THIS COLUMN TO BEGIN SCAN</t>
  </si>
  <si>
    <t>MINI3040</t>
  </si>
  <si>
    <t>Dell Mini 3040</t>
  </si>
  <si>
    <t>MINI3040WLAN1</t>
  </si>
  <si>
    <t>Dell Mini 3040 w/Single WLAN</t>
  </si>
  <si>
    <t>MINI3050</t>
  </si>
  <si>
    <t>Dell Mini 3050</t>
  </si>
  <si>
    <t>MINI3050WLAN1</t>
  </si>
  <si>
    <t>Dell Mini 3050 w/Single WLAN</t>
  </si>
  <si>
    <t>MINI3060</t>
  </si>
  <si>
    <t>Dell Mini 3060</t>
  </si>
  <si>
    <t>MINI3070</t>
  </si>
  <si>
    <t>Dell Mini 3070</t>
  </si>
  <si>
    <t>MINI3070WLAN1</t>
  </si>
  <si>
    <t>Dell Mini 3070 w/Single WLAN</t>
  </si>
  <si>
    <t>MINI3070WLAN2</t>
  </si>
  <si>
    <t>Dell Mini 3070 w/Dual WLAN</t>
  </si>
  <si>
    <t>JABRAHSC060</t>
  </si>
  <si>
    <t>Headset: Jabra</t>
  </si>
  <si>
    <t>KM636-BK-US</t>
  </si>
  <si>
    <t>Keyboard: Wireless Combo</t>
  </si>
  <si>
    <t>DELL-2419HCE</t>
  </si>
  <si>
    <t>Monitor: Dell 2419HCE</t>
  </si>
  <si>
    <t>MFS18MICROSTAND</t>
  </si>
  <si>
    <t>Micro Stand</t>
  </si>
  <si>
    <t>884116328346</t>
  </si>
  <si>
    <t>Laptop Bag</t>
  </si>
  <si>
    <t>Dock: Dell WD19 Dock</t>
  </si>
  <si>
    <t>Tablets/Laptops:</t>
  </si>
  <si>
    <t>Description                                                                                                                      </t>
  </si>
  <si>
    <t>Unit Cost</t>
  </si>
  <si>
    <t>SSC</t>
  </si>
  <si>
    <t>Pardee</t>
  </si>
  <si>
    <t>Caldwell</t>
  </si>
  <si>
    <t>Rex</t>
  </si>
  <si>
    <t>Chatham</t>
  </si>
  <si>
    <t>UNCMC</t>
  </si>
  <si>
    <t>Wayne</t>
  </si>
  <si>
    <t>JMH</t>
  </si>
  <si>
    <t>Nash</t>
  </si>
  <si>
    <t>MV</t>
  </si>
  <si>
    <t>Total</t>
  </si>
  <si>
    <t>Total Dollars</t>
  </si>
  <si>
    <t xml:space="preserve">Latitude 5490 i5-8350u </t>
  </si>
  <si>
    <t>Latitude 5400 i5-8365u</t>
  </si>
  <si>
    <t>Latitude 5590 i5-8350u</t>
  </si>
  <si>
    <t>Latitude 5500 i5-8365u</t>
  </si>
  <si>
    <t>Latitude 7490 i7-8650u</t>
  </si>
  <si>
    <t>Latitude 7400 i7-8665U</t>
  </si>
  <si>
    <t>Latitude 7200 2-in-1 (detachable keyboard)</t>
  </si>
  <si>
    <t>Precision XPS13</t>
  </si>
  <si>
    <t>Inspiron 17</t>
  </si>
  <si>
    <t>Precision 5530 workstation i7-8550H 6-core</t>
  </si>
  <si>
    <t>Precision 5540 workstation i7-9850H 6-core</t>
  </si>
  <si>
    <t>Microsoft Surface Pro</t>
  </si>
  <si>
    <t>Apple Ipad</t>
  </si>
  <si>
    <t>Latitude 7480</t>
  </si>
  <si>
    <t>Subtotal</t>
  </si>
  <si>
    <t>Desktops:</t>
  </si>
  <si>
    <t>Description</t>
  </si>
  <si>
    <t xml:space="preserve">Optiplex 3070 Small Form Factor i5-9500 </t>
  </si>
  <si>
    <t>OptiPlex 3060 Micro i5-8500T, Non-wrls</t>
  </si>
  <si>
    <t>OptiPlex 3070 Micro i5-9500T, Non-wrls</t>
  </si>
  <si>
    <t>OptiPlex 3060 Micro i5-8500T, wireless</t>
  </si>
  <si>
    <t>OptiPlex 3070 Micro i5-9500T, wireless</t>
  </si>
  <si>
    <t>Optiplex 7460 AIO Non TOUCH i5-8500</t>
  </si>
  <si>
    <t>OptiPlex 7470 AIO Non TOUCH i5-9500</t>
  </si>
  <si>
    <t>Precision T5820, 3.6-3.9Ghz</t>
  </si>
  <si>
    <t>OptiPlex 9020 Small Form Factor I7</t>
  </si>
  <si>
    <t>OptiPlex 7060 Small Form Factor i7-9700</t>
  </si>
  <si>
    <t>OptiPlex 7070 Small Form Factor i7-9700</t>
  </si>
  <si>
    <t>Teguars TS410</t>
  </si>
  <si>
    <t>IGEL UD3-LX LINUX V10</t>
  </si>
  <si>
    <t>Monitors, Monitor Accessories, Stands:</t>
  </si>
  <si>
    <t>Description                                                    </t>
  </si>
  <si>
    <t>Dell Ultrasharp 24” U2415 Monitor </t>
  </si>
  <si>
    <t xml:space="preserve">Dell P2419H 24” Standard Monitor </t>
  </si>
  <si>
    <t>Dell MR2416 24” Medical Review Monitor</t>
  </si>
  <si>
    <t>Dell Ultrasharp U2719D Monitor</t>
  </si>
  <si>
    <t>Dell Ultrasharp U3419W 34" USB-C Curved Monitor</t>
  </si>
  <si>
    <t xml:space="preserve">Dell Ultrasharp U4919W 49" USB-C Curved Monitor </t>
  </si>
  <si>
    <t xml:space="preserve">Dell P2418HT Touch 24" Monitor </t>
  </si>
  <si>
    <t>Planar PXN2480MW Monitor</t>
  </si>
  <si>
    <t>ELO ET1790L  Monitor</t>
  </si>
  <si>
    <t>BARCO COR CF 6MP 30"</t>
  </si>
  <si>
    <t>LG 32" TV/monitor</t>
  </si>
  <si>
    <t>LG 40" TV/monitor</t>
  </si>
  <si>
    <t>LG 43" TV/monitor</t>
  </si>
  <si>
    <t>LG 49" TV/monitor</t>
  </si>
  <si>
    <t>LG 55" TV/monitor</t>
  </si>
  <si>
    <t>LG 65" TV/monitor</t>
  </si>
  <si>
    <t>WOW Carts</t>
  </si>
  <si>
    <t>Capsa M38e cart standard</t>
  </si>
  <si>
    <t>Jaco Cart</t>
  </si>
  <si>
    <t>Clio Altus Cart</t>
  </si>
  <si>
    <t>Accessory Items:</t>
  </si>
  <si>
    <t>TB16 Dock Thunderbolt 240W</t>
  </si>
  <si>
    <t>Powermic III</t>
  </si>
  <si>
    <t>M130 Credet Card swipe</t>
  </si>
  <si>
    <t>IMP-80 Badge taps</t>
  </si>
  <si>
    <t xml:space="preserve">Topaz SIGNATURE PAD </t>
  </si>
  <si>
    <t>Enovate E997</t>
  </si>
  <si>
    <t>GCX Laptop cart Non power</t>
  </si>
  <si>
    <t>Altus Laptop cart Non power</t>
  </si>
  <si>
    <t>APC-1500 UPS backup</t>
  </si>
  <si>
    <t>APC-750 UPS backup</t>
  </si>
  <si>
    <t>Printers/Scanners:</t>
  </si>
  <si>
    <t>Fujitsu FI-7160 scanner</t>
  </si>
  <si>
    <t>Fujitsu FI-7260 Scanner</t>
  </si>
  <si>
    <t>Fujitsu FI-7700 Scanner</t>
  </si>
  <si>
    <t>Zebra DS8178 Scanner</t>
  </si>
  <si>
    <t>Zebra DS4309 Scanner</t>
  </si>
  <si>
    <t>Zebra GX420D printer</t>
  </si>
  <si>
    <t>Zebra GX430 T printer</t>
  </si>
  <si>
    <t>Zebra ZD510 printer</t>
  </si>
  <si>
    <t>Zebra ZD410 printer</t>
  </si>
  <si>
    <t>Zebra ZT410 printer</t>
  </si>
  <si>
    <t>Epson TM-T88 printer</t>
  </si>
  <si>
    <t>Epson DS320 printer</t>
  </si>
  <si>
    <t>HP 651 Printer</t>
  </si>
  <si>
    <t>HP 452 Printer</t>
  </si>
  <si>
    <t>HP 402 printer</t>
  </si>
  <si>
    <t>HP 200 printer</t>
  </si>
  <si>
    <t>Okidata ML490 printer</t>
  </si>
  <si>
    <t>PM43 printer</t>
  </si>
  <si>
    <t>Zebra ZQ620 printer</t>
  </si>
  <si>
    <t>MC55X scanner</t>
  </si>
  <si>
    <t>Zebra QLn320 mobile printer</t>
  </si>
  <si>
    <t>Not listed above…fill in unit cost and counts</t>
  </si>
  <si>
    <t>Grand Total</t>
  </si>
  <si>
    <t>Dock:Click In Docking Stations</t>
  </si>
  <si>
    <t>PA03670-B085</t>
  </si>
  <si>
    <t>Scanner: Fujitsu Fi-7160</t>
  </si>
  <si>
    <t>05TFT1TB</t>
  </si>
  <si>
    <t>HDMI: HDMI to VGA Adapter</t>
  </si>
  <si>
    <t>DPTOHDMIAD</t>
  </si>
  <si>
    <t>Display Port: DP to HDMI Adapter</t>
  </si>
  <si>
    <t>DPTOMDPAD</t>
  </si>
  <si>
    <t>USBCTODPAD</t>
  </si>
  <si>
    <t>Display Port: USB C to Display Port Adapter</t>
  </si>
  <si>
    <t>MDPTODPAD</t>
  </si>
  <si>
    <t>Mini DP to DP Adapter</t>
  </si>
  <si>
    <t>MDPTOHDMIAD</t>
  </si>
  <si>
    <t>Display Port: Mini DP to HDMI Adapter</t>
  </si>
  <si>
    <t>DPTOMDPCAB</t>
  </si>
  <si>
    <t>Display Port: DP to Mini DP Cables</t>
  </si>
  <si>
    <t>Display Port: Mini DP to HDMI Cables</t>
  </si>
  <si>
    <t>MDPTOHDMICAB</t>
  </si>
  <si>
    <t>Display Port: DP to Mini DP Adapters</t>
  </si>
  <si>
    <t>Display Port: to VGA Adapter</t>
  </si>
  <si>
    <t>Display Port: DP Cable</t>
  </si>
  <si>
    <t>LAT5410</t>
  </si>
  <si>
    <t>Dell Latitude 5410</t>
  </si>
  <si>
    <t>LAT52902N1</t>
  </si>
  <si>
    <t>LAT5570</t>
  </si>
  <si>
    <t>Dell Latitude 5570</t>
  </si>
  <si>
    <t>Dell Latitude 5290 2 in 1</t>
  </si>
  <si>
    <t>Dell Latitude 7390</t>
  </si>
  <si>
    <t>LAT7390</t>
  </si>
  <si>
    <t>LAT73902N1</t>
  </si>
  <si>
    <t>Dell Latitude 7390 2 in 1</t>
  </si>
  <si>
    <t>PRE5520</t>
  </si>
  <si>
    <t>Dell Precision 5520</t>
  </si>
  <si>
    <t>LAT72002N1DET</t>
  </si>
  <si>
    <t>Dell Latitude 7200 2 in 1 (Detachable Keyboard)</t>
  </si>
  <si>
    <t>USBTOHDMICONV</t>
  </si>
  <si>
    <t>USB 3.0 to HDMI Monitor Adapters</t>
  </si>
  <si>
    <t>Impravata Badge Readers</t>
  </si>
  <si>
    <t>BADGETAPS</t>
  </si>
  <si>
    <t>IPADCASES10IN</t>
  </si>
  <si>
    <t>IPADCASE7THGEN</t>
  </si>
  <si>
    <t>iPad Cases: Otter Defender for 7th Gen iPads</t>
  </si>
  <si>
    <t>IPADCASE8THGEN</t>
  </si>
  <si>
    <t>iPad Cases: Otter Defender for 7th and 8th Gen iPads</t>
  </si>
  <si>
    <t>iPad Cases: Survivor 10.2 inch</t>
  </si>
  <si>
    <t>IPADA2197</t>
  </si>
  <si>
    <t>Apple iPad: 10.2 Inches</t>
  </si>
  <si>
    <t>ZEBRAQLN320</t>
  </si>
  <si>
    <t>ZEBRAGX420D</t>
  </si>
  <si>
    <t>ZEBRAZD510</t>
  </si>
  <si>
    <t>ZEBRAGX430T</t>
  </si>
  <si>
    <t>Dock: Dell WD19-Thunderbolt</t>
  </si>
  <si>
    <t>LAT5500</t>
  </si>
  <si>
    <t>Dell Latitude 5500</t>
  </si>
  <si>
    <t>FUJFI7160</t>
  </si>
  <si>
    <t>Scanners: Fujitsu Fi-7160</t>
  </si>
  <si>
    <t>Scanners: Zebra ZD510</t>
  </si>
  <si>
    <t xml:space="preserve">Scanners:  Zebra QLN320 </t>
  </si>
  <si>
    <t xml:space="preserve">Scanners: Zebra  GX430T </t>
  </si>
  <si>
    <t xml:space="preserve">Scanners: Zebra  GX420D </t>
  </si>
  <si>
    <t>LAT7490</t>
  </si>
  <si>
    <t>Dell Latitude 7490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</si>
</sst>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3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theme="4" tint="0.79995117038483843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theme="4" tint="0.79998168889431442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2">
    <xf numFmtId="0" fontId="0" fillId="0" borderId="0" xfId="0"/>
    <xf numFmtId="49" fontId="3" fillId="2" borderId="4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Protection="1">
      <protection locked="0"/>
    </xf>
    <xf numFmtId="0" fontId="0" fillId="3" borderId="4" xfId="0" applyFill="1" applyBorder="1" applyProtection="1">
      <protection locked="0"/>
    </xf>
    <xf numFmtId="49" fontId="3" fillId="2" borderId="4" xfId="0" applyNumberFormat="1" applyFont="1" applyFill="1" applyBorder="1" applyAlignment="1" applyProtection="1">
      <alignment horizontal="left"/>
      <protection locked="0"/>
    </xf>
    <xf numFmtId="0" fontId="4" fillId="3" borderId="4" xfId="1" applyFill="1" applyBorder="1" applyProtection="1">
      <protection locked="0"/>
    </xf>
    <xf numFmtId="49" fontId="1" fillId="0" borderId="0" xfId="0" applyNumberFormat="1" applyFont="1" applyAlignment="1" applyProtection="1">
      <alignment horizontal="left"/>
      <protection hidden="1"/>
    </xf>
    <xf numFmtId="49" fontId="2" fillId="0" borderId="0" xfId="0" applyNumberFormat="1" applyFont="1" applyAlignment="1" applyProtection="1">
      <alignment horizontal="left"/>
      <protection hidden="1"/>
    </xf>
    <xf numFmtId="49" fontId="2" fillId="0" borderId="1" xfId="0" applyNumberFormat="1" applyFont="1" applyBorder="1" applyAlignment="1" applyProtection="1">
      <alignment horizontal="left"/>
      <protection hidden="1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1" fillId="0" borderId="0" xfId="0" applyFont="1" applyAlignment="1" applyProtection="1">
      <alignment horizontal="center"/>
    </xf>
    <xf numFmtId="0" fontId="2" fillId="0" borderId="0" xfId="0" applyFont="1" applyProtection="1"/>
    <xf numFmtId="0" fontId="2" fillId="0" borderId="2" xfId="0" applyFont="1" applyBorder="1" applyProtection="1"/>
    <xf numFmtId="0" fontId="2" fillId="0" borderId="3" xfId="0" applyFont="1" applyBorder="1" applyProtection="1"/>
    <xf numFmtId="0" fontId="5" fillId="3" borderId="4" xfId="0" applyFont="1" applyFill="1" applyBorder="1" applyProtection="1">
      <protection locked="0"/>
    </xf>
    <xf numFmtId="0" fontId="5" fillId="0" borderId="0" xfId="0" applyFont="1" applyFill="1" applyProtection="1"/>
    <xf numFmtId="0" fontId="5" fillId="0" borderId="0" xfId="0" applyFont="1" applyFill="1" applyProtection="1">
      <protection locked="0"/>
    </xf>
    <xf numFmtId="16" fontId="5" fillId="0" borderId="0" xfId="0" applyNumberFormat="1" applyFont="1" applyFill="1" applyProtection="1">
      <protection locked="0"/>
    </xf>
    <xf numFmtId="49" fontId="2" fillId="0" borderId="0" xfId="0" applyNumberFormat="1" applyFont="1" applyBorder="1" applyAlignment="1" applyProtection="1">
      <alignment horizontal="left"/>
      <protection hidden="1"/>
    </xf>
    <xf numFmtId="0" fontId="2" fillId="0" borderId="0" xfId="0" applyFont="1" applyBorder="1" applyProtection="1"/>
    <xf numFmtId="0" fontId="8" fillId="0" borderId="5" xfId="0" applyFont="1" applyFill="1" applyBorder="1" applyAlignment="1">
      <alignment vertical="center"/>
    </xf>
    <xf numFmtId="0" fontId="0" fillId="0" borderId="5" xfId="0" applyFont="1" applyBorder="1" applyAlignment="1">
      <alignment horizontal="left"/>
    </xf>
    <xf numFmtId="0" fontId="8" fillId="0" borderId="5" xfId="0" applyFont="1" applyFill="1" applyBorder="1"/>
    <xf numFmtId="0" fontId="0" fillId="0" borderId="5" xfId="0" applyFont="1" applyFill="1" applyBorder="1" applyAlignment="1">
      <alignment horizontal="left"/>
    </xf>
    <xf numFmtId="0" fontId="8" fillId="0" borderId="5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8" fillId="0" borderId="5" xfId="0" applyFont="1" applyFill="1" applyBorder="1" applyAlignment="1">
      <alignment horizontal="left" vertical="center"/>
    </xf>
    <xf numFmtId="0" fontId="8" fillId="0" borderId="5" xfId="0" applyFont="1" applyFill="1" applyBorder="1" applyAlignment="1">
      <alignment horizontal="left"/>
    </xf>
    <xf numFmtId="164" fontId="7" fillId="0" borderId="5" xfId="0" applyNumberFormat="1" applyFont="1" applyFill="1" applyBorder="1" applyAlignment="1">
      <alignment vertical="center"/>
    </xf>
    <xf numFmtId="164" fontId="7" fillId="0" borderId="5" xfId="0" applyNumberFormat="1" applyFont="1" applyFill="1" applyBorder="1"/>
    <xf numFmtId="164" fontId="6" fillId="0" borderId="5" xfId="0" applyNumberFormat="1" applyFont="1" applyBorder="1" applyAlignment="1">
      <alignment horizontal="left"/>
    </xf>
    <xf numFmtId="164" fontId="6" fillId="0" borderId="5" xfId="0" applyNumberFormat="1" applyFont="1" applyFill="1" applyBorder="1" applyAlignment="1">
      <alignment horizontal="left"/>
    </xf>
    <xf numFmtId="164" fontId="6" fillId="0" borderId="5" xfId="0" applyNumberFormat="1" applyFont="1" applyBorder="1"/>
    <xf numFmtId="164" fontId="6" fillId="0" borderId="5" xfId="0" applyNumberFormat="1" applyFont="1" applyFill="1" applyBorder="1"/>
    <xf numFmtId="0" fontId="7" fillId="4" borderId="5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left" vertical="top"/>
    </xf>
    <xf numFmtId="164" fontId="7" fillId="4" borderId="5" xfId="0" applyNumberFormat="1" applyFont="1" applyFill="1" applyBorder="1" applyAlignment="1">
      <alignment horizontal="left" vertical="center"/>
    </xf>
    <xf numFmtId="0" fontId="6" fillId="4" borderId="5" xfId="0" applyFont="1" applyFill="1" applyBorder="1"/>
    <xf numFmtId="164" fontId="6" fillId="4" borderId="5" xfId="0" applyNumberFormat="1" applyFont="1" applyFill="1" applyBorder="1" applyAlignment="1">
      <alignment horizontal="right" vertical="top"/>
    </xf>
    <xf numFmtId="0" fontId="6" fillId="0" borderId="5" xfId="0" applyFont="1" applyBorder="1"/>
    <xf numFmtId="164" fontId="6" fillId="0" borderId="5" xfId="0" applyNumberFormat="1" applyFont="1" applyBorder="1" applyAlignment="1">
      <alignment horizontal="right" vertical="top"/>
    </xf>
    <xf numFmtId="164" fontId="6" fillId="5" borderId="5" xfId="0" applyNumberFormat="1" applyFont="1" applyFill="1" applyBorder="1" applyAlignment="1">
      <alignment horizontal="right" vertical="top"/>
    </xf>
    <xf numFmtId="164" fontId="6" fillId="6" borderId="5" xfId="0" applyNumberFormat="1" applyFont="1" applyFill="1" applyBorder="1" applyAlignment="1">
      <alignment horizontal="right" vertical="top"/>
    </xf>
    <xf numFmtId="164" fontId="10" fillId="4" borderId="5" xfId="0" applyNumberFormat="1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0" fillId="4" borderId="5" xfId="0" applyFont="1" applyFill="1" applyBorder="1"/>
    <xf numFmtId="0" fontId="10" fillId="4" borderId="5" xfId="0" applyFont="1" applyFill="1" applyBorder="1" applyAlignment="1">
      <alignment horizontal="left" vertical="top"/>
    </xf>
    <xf numFmtId="0" fontId="0" fillId="0" borderId="5" xfId="0" applyFont="1" applyFill="1" applyBorder="1" applyAlignment="1">
      <alignment horizontal="center"/>
    </xf>
    <xf numFmtId="0" fontId="0" fillId="0" borderId="5" xfId="0" applyFont="1" applyBorder="1"/>
    <xf numFmtId="0" fontId="0" fillId="0" borderId="5" xfId="0" applyFont="1" applyFill="1" applyBorder="1"/>
    <xf numFmtId="0" fontId="0" fillId="0" borderId="5" xfId="0" applyBorder="1" applyAlignment="1">
      <alignment horizontal="center"/>
    </xf>
    <xf numFmtId="0" fontId="0" fillId="0" borderId="5" xfId="0" applyBorder="1"/>
    <xf numFmtId="0" fontId="0" fillId="0" borderId="5" xfId="0" applyBorder="1" applyAlignment="1">
      <alignment horizontal="left"/>
    </xf>
    <xf numFmtId="0" fontId="7" fillId="0" borderId="5" xfId="0" applyNumberFormat="1" applyFont="1" applyFill="1" applyBorder="1" applyAlignment="1">
      <alignment vertical="center"/>
    </xf>
    <xf numFmtId="0" fontId="7" fillId="0" borderId="5" xfId="0" applyNumberFormat="1" applyFont="1" applyFill="1" applyBorder="1"/>
    <xf numFmtId="0" fontId="6" fillId="0" borderId="5" xfId="0" applyNumberFormat="1" applyFont="1" applyFill="1" applyBorder="1" applyAlignment="1">
      <alignment horizontal="left"/>
    </xf>
    <xf numFmtId="0" fontId="6" fillId="0" borderId="5" xfId="0" applyNumberFormat="1" applyFont="1" applyBorder="1"/>
    <xf numFmtId="0" fontId="11" fillId="3" borderId="5" xfId="0" applyNumberFormat="1" applyFont="1" applyFill="1" applyBorder="1"/>
    <xf numFmtId="0" fontId="6" fillId="0" borderId="5" xfId="0" applyFont="1" applyFill="1" applyBorder="1"/>
    <xf numFmtId="164" fontId="6" fillId="0" borderId="5" xfId="0" applyNumberFormat="1" applyFont="1" applyFill="1" applyBorder="1" applyAlignment="1">
      <alignment horizontal="right" vertical="top"/>
    </xf>
    <xf numFmtId="0" fontId="0" fillId="0" borderId="0" xfId="0" applyFill="1"/>
    <xf numFmtId="0" fontId="0" fillId="0" borderId="5" xfId="0" applyFill="1" applyBorder="1" applyAlignment="1">
      <alignment horizontal="center"/>
    </xf>
    <xf numFmtId="3" fontId="8" fillId="0" borderId="5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vertical="center"/>
    </xf>
    <xf numFmtId="164" fontId="10" fillId="0" borderId="5" xfId="0" applyNumberFormat="1" applyFont="1" applyFill="1" applyBorder="1" applyAlignment="1">
      <alignment vertical="center"/>
    </xf>
    <xf numFmtId="0" fontId="9" fillId="0" borderId="5" xfId="0" applyFont="1" applyFill="1" applyBorder="1" applyAlignment="1">
      <alignment horizontal="center" vertical="center"/>
    </xf>
    <xf numFmtId="0" fontId="10" fillId="0" borderId="5" xfId="0" applyNumberFormat="1" applyFont="1" applyFill="1" applyBorder="1" applyAlignment="1">
      <alignment vertical="center"/>
    </xf>
    <xf numFmtId="0" fontId="9" fillId="0" borderId="5" xfId="0" applyFont="1" applyFill="1" applyBorder="1" applyAlignment="1">
      <alignment horizontal="left" vertical="center"/>
    </xf>
    <xf numFmtId="0" fontId="0" fillId="0" borderId="0" xfId="0" applyFill="1" applyAlignment="1">
      <alignment horizontal="center"/>
    </xf>
    <xf numFmtId="0" fontId="9" fillId="0" borderId="9" xfId="0" applyFont="1" applyFill="1" applyBorder="1" applyAlignment="1">
      <alignment horizontal="center" vertical="center"/>
    </xf>
    <xf numFmtId="0" fontId="0" fillId="0" borderId="0" xfId="0" applyFont="1" applyFill="1"/>
    <xf numFmtId="0" fontId="0" fillId="0" borderId="5" xfId="0" applyFill="1" applyBorder="1" applyAlignment="1">
      <alignment horizontal="left"/>
    </xf>
    <xf numFmtId="0" fontId="12" fillId="7" borderId="0" xfId="0" applyFont="1" applyFill="1" applyAlignment="1" applyProtection="1">
      <alignment horizontal="left"/>
      <protection hidden="1"/>
    </xf>
    <xf numFmtId="0" fontId="12" fillId="7" borderId="0" xfId="0" applyFont="1" applyFill="1" applyProtection="1"/>
    <xf numFmtId="0" fontId="12" fillId="7" borderId="4" xfId="0" applyFont="1" applyFill="1" applyBorder="1" applyProtection="1">
      <protection locked="0"/>
    </xf>
    <xf numFmtId="0" fontId="12" fillId="7" borderId="0" xfId="0" applyFont="1" applyFill="1" applyProtection="1">
      <protection locked="0"/>
    </xf>
    <xf numFmtId="49" fontId="12" fillId="7" borderId="0" xfId="0" applyNumberFormat="1" applyFont="1" applyFill="1" applyAlignment="1" applyProtection="1">
      <alignment horizontal="left"/>
      <protection hidden="1"/>
    </xf>
    <xf numFmtId="0" fontId="12" fillId="7" borderId="0" xfId="0" applyFont="1" applyFill="1" applyBorder="1" applyProtection="1"/>
    <xf numFmtId="0" fontId="12" fillId="7" borderId="0" xfId="0" applyFont="1" applyFill="1" applyBorder="1" applyAlignment="1" applyProtection="1">
      <alignment horizontal="left"/>
      <protection hidden="1"/>
    </xf>
    <xf numFmtId="49" fontId="12" fillId="7" borderId="0" xfId="0" applyNumberFormat="1" applyFont="1" applyFill="1" applyBorder="1" applyAlignment="1" applyProtection="1">
      <alignment horizontal="left"/>
      <protection hidden="1"/>
    </xf>
    <xf numFmtId="49" fontId="12" fillId="8" borderId="1" xfId="0" applyNumberFormat="1" applyFont="1" applyFill="1" applyBorder="1" applyAlignment="1">
      <alignment horizontal="left"/>
    </xf>
    <xf numFmtId="49" fontId="2" fillId="6" borderId="0" xfId="0" applyNumberFormat="1" applyFont="1" applyFill="1" applyBorder="1" applyAlignment="1" applyProtection="1">
      <alignment horizontal="left"/>
      <protection hidden="1"/>
    </xf>
    <xf numFmtId="0" fontId="2" fillId="6" borderId="0" xfId="0" applyFont="1" applyFill="1" applyBorder="1" applyProtection="1"/>
    <xf numFmtId="0" fontId="2" fillId="6" borderId="4" xfId="0" applyFont="1" applyFill="1" applyBorder="1" applyProtection="1">
      <protection locked="0"/>
    </xf>
    <xf numFmtId="0" fontId="2" fillId="6" borderId="0" xfId="0" applyFont="1" applyFill="1" applyProtection="1">
      <protection locked="0"/>
    </xf>
    <xf numFmtId="49" fontId="2" fillId="9" borderId="0" xfId="0" applyNumberFormat="1" applyFont="1" applyFill="1" applyBorder="1" applyAlignment="1" applyProtection="1">
      <alignment horizontal="left"/>
      <protection hidden="1"/>
    </xf>
    <xf numFmtId="0" fontId="2" fillId="9" borderId="0" xfId="0" applyFont="1" applyFill="1" applyBorder="1" applyProtection="1"/>
    <xf numFmtId="0" fontId="2" fillId="9" borderId="4" xfId="0" applyFont="1" applyFill="1" applyBorder="1" applyProtection="1">
      <protection locked="0"/>
    </xf>
    <xf numFmtId="0" fontId="2" fillId="9" borderId="0" xfId="0" applyFont="1" applyFill="1" applyProtection="1">
      <protection locked="0"/>
    </xf>
    <xf numFmtId="49" fontId="2" fillId="9" borderId="0" xfId="0" applyNumberFormat="1" applyFont="1" applyFill="1" applyAlignment="1" applyProtection="1">
      <alignment horizontal="left"/>
      <protection hidden="1"/>
    </xf>
    <xf numFmtId="0" fontId="2" fillId="9" borderId="0" xfId="0" applyFont="1" applyFill="1" applyProtection="1"/>
    <xf numFmtId="0" fontId="7" fillId="4" borderId="5" xfId="0" applyFont="1" applyFill="1" applyBorder="1" applyAlignment="1">
      <alignment horizontal="left" vertical="top"/>
    </xf>
    <xf numFmtId="0" fontId="6" fillId="6" borderId="6" xfId="0" applyFont="1" applyFill="1" applyBorder="1" applyAlignment="1">
      <alignment horizontal="left" vertical="top"/>
    </xf>
    <xf numFmtId="0" fontId="6" fillId="6" borderId="7" xfId="0" applyFont="1" applyFill="1" applyBorder="1" applyAlignment="1">
      <alignment horizontal="left" vertical="top"/>
    </xf>
    <xf numFmtId="0" fontId="6" fillId="6" borderId="8" xfId="0" applyFont="1" applyFill="1" applyBorder="1" applyAlignment="1">
      <alignment horizontal="left" vertical="top"/>
    </xf>
    <xf numFmtId="0" fontId="6" fillId="5" borderId="6" xfId="0" applyFont="1" applyFill="1" applyBorder="1" applyAlignment="1">
      <alignment horizontal="left" vertical="top"/>
    </xf>
    <xf numFmtId="0" fontId="6" fillId="5" borderId="7" xfId="0" applyFont="1" applyFill="1" applyBorder="1" applyAlignment="1">
      <alignment horizontal="left" vertical="top"/>
    </xf>
    <xf numFmtId="0" fontId="6" fillId="5" borderId="8" xfId="0" applyFont="1" applyFill="1" applyBorder="1" applyAlignment="1">
      <alignment horizontal="left" vertical="top"/>
    </xf>
    <xf numFmtId="0" fontId="6" fillId="4" borderId="5" xfId="0" applyFont="1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5"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1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1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lef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protection locked="1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protection locked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3" displayName="Table13" ref="A1:C1048510" totalsRowShown="0" headerRowDxfId="4" dataDxfId="3">
  <autoFilter ref="A1:C1048510" xr:uid="{00000000-0009-0000-0100-000002000000}"/>
  <sortState xmlns:xlrd2="http://schemas.microsoft.com/office/spreadsheetml/2017/richdata2" ref="A2:C110">
    <sortCondition ref="B1:B1048510"/>
  </sortState>
  <tableColumns count="3">
    <tableColumn id="1" xr3:uid="{00000000-0010-0000-0000-000001000000}" name="Barcode" dataDxfId="2"/>
    <tableColumn id="2" xr3:uid="{00000000-0010-0000-0000-000002000000}" name="Product Description" dataDxfId="1"/>
    <tableColumn id="3" xr3:uid="{00000000-0010-0000-0000-000003000000}" name="Quantit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110"/>
  <sheetViews>
    <sheetView tabSelected="1" workbookViewId="0">
      <pane ySplit="1" topLeftCell="A2" activePane="bottomLeft" state="frozen"/>
      <selection pane="bottomLeft" activeCell="B96" sqref="B96"/>
    </sheetView>
  </sheetViews>
  <sheetFormatPr defaultRowHeight="15.75" x14ac:dyDescent="0.25"/>
  <cols>
    <col min="1" max="1" width="26.140625" style="7" customWidth="1"/>
    <col min="2" max="2" width="52" style="12" customWidth="1"/>
    <col min="3" max="4" width="39.140625" style="12" customWidth="1"/>
    <col min="5" max="5" width="60.28515625" style="2" customWidth="1"/>
    <col min="6" max="6" width="12" style="9" customWidth="1"/>
    <col min="7" max="16384" width="9.140625" style="9"/>
  </cols>
  <sheetData>
    <row r="1" spans="1:6" ht="26.25" x14ac:dyDescent="0.4">
      <c r="A1" s="6" t="s">
        <v>0</v>
      </c>
      <c r="B1" s="11" t="s">
        <v>1</v>
      </c>
      <c r="C1" s="11" t="s">
        <v>2</v>
      </c>
      <c r="D1" s="11"/>
      <c r="E1" s="1" t="s">
        <v>126</v>
      </c>
    </row>
    <row r="2" spans="1:6" x14ac:dyDescent="0.25">
      <c r="A2" s="19" t="s">
        <v>45</v>
      </c>
      <c r="B2" s="20" t="s">
        <v>12</v>
      </c>
      <c r="C2" s="20">
        <v>29</v>
      </c>
      <c r="D2" s="20"/>
    </row>
    <row r="3" spans="1:6" x14ac:dyDescent="0.25">
      <c r="A3" s="7" t="s">
        <v>52</v>
      </c>
      <c r="B3" s="12" t="s">
        <v>33</v>
      </c>
      <c r="C3" s="12">
        <v>4</v>
      </c>
    </row>
    <row r="4" spans="1:6" x14ac:dyDescent="0.25">
      <c r="A4" s="19" t="s">
        <v>47</v>
      </c>
      <c r="B4" s="20" t="s">
        <v>41</v>
      </c>
      <c r="C4" s="20">
        <v>48</v>
      </c>
      <c r="D4" s="20"/>
    </row>
    <row r="5" spans="1:6" x14ac:dyDescent="0.25">
      <c r="A5" s="7" t="s">
        <v>55</v>
      </c>
      <c r="B5" s="12" t="s">
        <v>59</v>
      </c>
      <c r="C5" s="12">
        <v>10</v>
      </c>
    </row>
    <row r="6" spans="1:6" s="78" customFormat="1" x14ac:dyDescent="0.25">
      <c r="A6" s="79" t="s">
        <v>301</v>
      </c>
      <c r="B6" s="76" t="s">
        <v>302</v>
      </c>
      <c r="C6" s="76">
        <v>16</v>
      </c>
      <c r="D6" s="76"/>
      <c r="E6" s="77"/>
    </row>
    <row r="7" spans="1:6" x14ac:dyDescent="0.25">
      <c r="A7" s="7" t="s">
        <v>57</v>
      </c>
      <c r="B7" s="12" t="s">
        <v>104</v>
      </c>
      <c r="C7" s="12">
        <v>66</v>
      </c>
    </row>
    <row r="8" spans="1:6" x14ac:dyDescent="0.25">
      <c r="A8" s="7" t="s">
        <v>51</v>
      </c>
      <c r="B8" s="12" t="s">
        <v>97</v>
      </c>
      <c r="C8" s="12">
        <v>4</v>
      </c>
    </row>
    <row r="9" spans="1:6" x14ac:dyDescent="0.25">
      <c r="A9" s="7" t="s">
        <v>53</v>
      </c>
      <c r="B9" s="12" t="s">
        <v>65</v>
      </c>
      <c r="C9" s="12">
        <v>285</v>
      </c>
    </row>
    <row r="10" spans="1:6" s="17" customFormat="1" ht="16.5" customHeight="1" x14ac:dyDescent="0.25">
      <c r="A10" s="7" t="s">
        <v>73</v>
      </c>
      <c r="B10" s="12" t="s">
        <v>74</v>
      </c>
      <c r="C10" s="12">
        <v>15</v>
      </c>
      <c r="D10" s="16"/>
      <c r="E10" s="15"/>
      <c r="F10" s="18"/>
    </row>
    <row r="11" spans="1:6" s="78" customFormat="1" x14ac:dyDescent="0.25">
      <c r="A11" s="75" t="s">
        <v>279</v>
      </c>
      <c r="B11" s="76" t="s">
        <v>282</v>
      </c>
      <c r="C11" s="76">
        <v>15</v>
      </c>
      <c r="D11" s="76"/>
      <c r="E11" s="77"/>
    </row>
    <row r="12" spans="1:6" s="78" customFormat="1" x14ac:dyDescent="0.25">
      <c r="A12" s="75" t="s">
        <v>13</v>
      </c>
      <c r="B12" s="76" t="s">
        <v>14</v>
      </c>
      <c r="C12" s="76">
        <v>4</v>
      </c>
      <c r="D12" s="76"/>
      <c r="E12" s="77"/>
    </row>
    <row r="13" spans="1:6" s="78" customFormat="1" x14ac:dyDescent="0.25">
      <c r="A13" s="79" t="s">
        <v>277</v>
      </c>
      <c r="B13" s="76" t="s">
        <v>278</v>
      </c>
      <c r="C13" s="76">
        <v>39</v>
      </c>
      <c r="D13" s="76"/>
      <c r="E13" s="77"/>
    </row>
    <row r="14" spans="1:6" s="78" customFormat="1" x14ac:dyDescent="0.25">
      <c r="A14" s="75" t="s">
        <v>15</v>
      </c>
      <c r="B14" s="76" t="s">
        <v>16</v>
      </c>
      <c r="C14" s="76">
        <v>6</v>
      </c>
      <c r="D14" s="80"/>
      <c r="E14" s="77"/>
    </row>
    <row r="15" spans="1:6" s="78" customFormat="1" x14ac:dyDescent="0.25">
      <c r="A15" s="81" t="s">
        <v>17</v>
      </c>
      <c r="B15" s="80" t="s">
        <v>18</v>
      </c>
      <c r="C15" s="80">
        <v>2</v>
      </c>
      <c r="D15" s="76"/>
      <c r="E15" s="77"/>
    </row>
    <row r="16" spans="1:6" s="78" customFormat="1" x14ac:dyDescent="0.25">
      <c r="A16" s="75" t="s">
        <v>19</v>
      </c>
      <c r="B16" s="76" t="s">
        <v>20</v>
      </c>
      <c r="C16" s="76">
        <v>5</v>
      </c>
      <c r="D16" s="76"/>
      <c r="E16" s="77"/>
    </row>
    <row r="17" spans="1:5" s="78" customFormat="1" x14ac:dyDescent="0.25">
      <c r="A17" s="79" t="s">
        <v>308</v>
      </c>
      <c r="B17" s="76" t="s">
        <v>309</v>
      </c>
      <c r="C17" s="76">
        <v>1</v>
      </c>
      <c r="D17" s="76"/>
      <c r="E17" s="77"/>
    </row>
    <row r="18" spans="1:5" s="78" customFormat="1" x14ac:dyDescent="0.25">
      <c r="A18" s="75" t="s">
        <v>280</v>
      </c>
      <c r="B18" s="76" t="s">
        <v>281</v>
      </c>
      <c r="C18" s="76">
        <v>4</v>
      </c>
      <c r="D18" s="76"/>
      <c r="E18" s="77"/>
    </row>
    <row r="19" spans="1:5" s="78" customFormat="1" x14ac:dyDescent="0.25">
      <c r="A19" s="79" t="s">
        <v>289</v>
      </c>
      <c r="B19" s="76" t="s">
        <v>290</v>
      </c>
      <c r="C19" s="76">
        <v>2</v>
      </c>
      <c r="D19" s="76"/>
      <c r="E19" s="77"/>
    </row>
    <row r="20" spans="1:5" s="78" customFormat="1" x14ac:dyDescent="0.25">
      <c r="A20" s="75" t="s">
        <v>284</v>
      </c>
      <c r="B20" s="76" t="s">
        <v>283</v>
      </c>
      <c r="C20" s="76">
        <v>6</v>
      </c>
      <c r="D20" s="76"/>
      <c r="E20" s="77"/>
    </row>
    <row r="21" spans="1:5" s="78" customFormat="1" x14ac:dyDescent="0.25">
      <c r="A21" s="79" t="s">
        <v>285</v>
      </c>
      <c r="B21" s="76" t="s">
        <v>286</v>
      </c>
      <c r="C21" s="76">
        <v>1</v>
      </c>
      <c r="D21" s="76"/>
      <c r="E21" s="77"/>
    </row>
    <row r="22" spans="1:5" s="78" customFormat="1" x14ac:dyDescent="0.25">
      <c r="A22" s="75" t="s">
        <v>21</v>
      </c>
      <c r="B22" s="76" t="s">
        <v>25</v>
      </c>
      <c r="C22" s="76">
        <v>26</v>
      </c>
      <c r="D22" s="76"/>
      <c r="E22" s="77"/>
    </row>
    <row r="23" spans="1:5" s="78" customFormat="1" x14ac:dyDescent="0.25">
      <c r="A23" s="75" t="s">
        <v>22</v>
      </c>
      <c r="B23" s="76" t="s">
        <v>26</v>
      </c>
      <c r="C23" s="76">
        <v>8</v>
      </c>
      <c r="D23" s="76"/>
      <c r="E23" s="77"/>
    </row>
    <row r="24" spans="1:5" s="78" customFormat="1" x14ac:dyDescent="0.25">
      <c r="A24" s="75" t="s">
        <v>23</v>
      </c>
      <c r="B24" s="76" t="s">
        <v>27</v>
      </c>
      <c r="C24" s="76">
        <v>11</v>
      </c>
      <c r="D24" s="76"/>
      <c r="E24" s="77"/>
    </row>
    <row r="25" spans="1:5" s="78" customFormat="1" x14ac:dyDescent="0.25">
      <c r="A25" s="75" t="s">
        <v>24</v>
      </c>
      <c r="B25" s="76" t="s">
        <v>28</v>
      </c>
      <c r="C25" s="76">
        <v>10</v>
      </c>
      <c r="D25" s="76"/>
      <c r="E25" s="77"/>
    </row>
    <row r="26" spans="1:5" s="78" customFormat="1" x14ac:dyDescent="0.25">
      <c r="A26" s="79" t="s">
        <v>316</v>
      </c>
      <c r="B26" s="76" t="s">
        <v>317</v>
      </c>
      <c r="C26" s="76">
        <v>1</v>
      </c>
      <c r="D26" s="76"/>
      <c r="E26" s="77"/>
    </row>
    <row r="27" spans="1:5" s="78" customFormat="1" x14ac:dyDescent="0.25">
      <c r="A27" s="79" t="s">
        <v>127</v>
      </c>
      <c r="B27" s="76" t="s">
        <v>128</v>
      </c>
      <c r="C27" s="76">
        <v>0</v>
      </c>
      <c r="D27" s="80"/>
      <c r="E27" s="77"/>
    </row>
    <row r="28" spans="1:5" s="78" customFormat="1" x14ac:dyDescent="0.25">
      <c r="A28" s="79" t="s">
        <v>129</v>
      </c>
      <c r="B28" s="76" t="s">
        <v>130</v>
      </c>
      <c r="C28" s="76">
        <v>4</v>
      </c>
      <c r="D28" s="76"/>
      <c r="E28" s="77"/>
    </row>
    <row r="29" spans="1:5" s="78" customFormat="1" x14ac:dyDescent="0.25">
      <c r="A29" s="82" t="s">
        <v>131</v>
      </c>
      <c r="B29" s="80" t="s">
        <v>132</v>
      </c>
      <c r="C29" s="80">
        <v>28</v>
      </c>
      <c r="D29" s="76"/>
      <c r="E29" s="77"/>
    </row>
    <row r="30" spans="1:5" s="78" customFormat="1" x14ac:dyDescent="0.25">
      <c r="A30" s="79" t="s">
        <v>133</v>
      </c>
      <c r="B30" s="76" t="s">
        <v>134</v>
      </c>
      <c r="C30" s="76">
        <v>0</v>
      </c>
      <c r="D30" s="76"/>
      <c r="E30" s="77"/>
    </row>
    <row r="31" spans="1:5" s="78" customFormat="1" x14ac:dyDescent="0.25">
      <c r="A31" s="79" t="s">
        <v>135</v>
      </c>
      <c r="B31" s="76" t="s">
        <v>136</v>
      </c>
      <c r="C31" s="76">
        <v>9</v>
      </c>
      <c r="D31" s="76"/>
      <c r="E31" s="77"/>
    </row>
    <row r="32" spans="1:5" s="78" customFormat="1" x14ac:dyDescent="0.25">
      <c r="A32" s="79" t="s">
        <v>137</v>
      </c>
      <c r="B32" s="76" t="s">
        <v>138</v>
      </c>
      <c r="C32" s="76">
        <v>315</v>
      </c>
      <c r="D32" s="76"/>
      <c r="E32" s="83" t="s">
        <v>95</v>
      </c>
    </row>
    <row r="33" spans="1:5" s="78" customFormat="1" x14ac:dyDescent="0.25">
      <c r="A33" s="79" t="s">
        <v>141</v>
      </c>
      <c r="B33" s="76" t="s">
        <v>142</v>
      </c>
      <c r="C33" s="76">
        <v>19</v>
      </c>
      <c r="D33" s="76"/>
      <c r="E33" s="77"/>
    </row>
    <row r="34" spans="1:5" s="78" customFormat="1" x14ac:dyDescent="0.25">
      <c r="A34" s="79" t="s">
        <v>139</v>
      </c>
      <c r="B34" s="76" t="s">
        <v>140</v>
      </c>
      <c r="C34" s="76">
        <v>1</v>
      </c>
      <c r="D34" s="76"/>
      <c r="E34" s="77"/>
    </row>
    <row r="35" spans="1:5" s="78" customFormat="1" x14ac:dyDescent="0.25">
      <c r="A35" s="79" t="s">
        <v>86</v>
      </c>
      <c r="B35" s="76" t="s">
        <v>90</v>
      </c>
      <c r="C35" s="76">
        <v>4</v>
      </c>
      <c r="D35" s="76"/>
      <c r="E35" s="77"/>
    </row>
    <row r="36" spans="1:5" s="78" customFormat="1" x14ac:dyDescent="0.25">
      <c r="A36" s="79" t="s">
        <v>87</v>
      </c>
      <c r="B36" s="76" t="s">
        <v>91</v>
      </c>
      <c r="C36" s="76">
        <v>173</v>
      </c>
      <c r="D36" s="76"/>
      <c r="E36" s="77"/>
    </row>
    <row r="37" spans="1:5" s="78" customFormat="1" x14ac:dyDescent="0.25">
      <c r="A37" s="79" t="s">
        <v>88</v>
      </c>
      <c r="B37" s="76" t="s">
        <v>92</v>
      </c>
      <c r="C37" s="76">
        <v>3</v>
      </c>
      <c r="D37" s="76"/>
      <c r="E37" s="77"/>
    </row>
    <row r="38" spans="1:5" s="78" customFormat="1" x14ac:dyDescent="0.25">
      <c r="A38" s="79" t="s">
        <v>89</v>
      </c>
      <c r="B38" s="76" t="s">
        <v>93</v>
      </c>
      <c r="C38" s="76">
        <v>13</v>
      </c>
      <c r="D38" s="76"/>
      <c r="E38" s="77"/>
    </row>
    <row r="39" spans="1:5" s="78" customFormat="1" x14ac:dyDescent="0.25">
      <c r="A39" s="79" t="s">
        <v>94</v>
      </c>
      <c r="B39" s="76" t="s">
        <v>96</v>
      </c>
      <c r="C39" s="76">
        <v>9</v>
      </c>
      <c r="D39" s="76"/>
      <c r="E39" s="77"/>
    </row>
    <row r="40" spans="1:5" s="78" customFormat="1" x14ac:dyDescent="0.25">
      <c r="A40" s="79" t="s">
        <v>287</v>
      </c>
      <c r="B40" s="76" t="s">
        <v>288</v>
      </c>
      <c r="C40" s="76">
        <v>1</v>
      </c>
      <c r="D40" s="76"/>
      <c r="E40" s="77"/>
    </row>
    <row r="41" spans="1:5" x14ac:dyDescent="0.25">
      <c r="A41" s="7" t="s">
        <v>79</v>
      </c>
      <c r="B41" s="12" t="s">
        <v>276</v>
      </c>
      <c r="C41" s="12">
        <v>67</v>
      </c>
    </row>
    <row r="42" spans="1:5" x14ac:dyDescent="0.25">
      <c r="A42" s="7" t="s">
        <v>261</v>
      </c>
      <c r="B42" s="12" t="s">
        <v>262</v>
      </c>
      <c r="C42" s="12">
        <v>49</v>
      </c>
    </row>
    <row r="43" spans="1:5" x14ac:dyDescent="0.25">
      <c r="A43" s="7" t="s">
        <v>263</v>
      </c>
      <c r="B43" s="12" t="s">
        <v>274</v>
      </c>
      <c r="C43" s="12">
        <v>40</v>
      </c>
    </row>
    <row r="44" spans="1:5" x14ac:dyDescent="0.25">
      <c r="A44" s="7" t="s">
        <v>270</v>
      </c>
      <c r="B44" s="12" t="s">
        <v>271</v>
      </c>
      <c r="C44" s="12">
        <v>28</v>
      </c>
    </row>
    <row r="45" spans="1:5" x14ac:dyDescent="0.25">
      <c r="A45" s="7" t="s">
        <v>268</v>
      </c>
      <c r="B45" s="12" t="s">
        <v>269</v>
      </c>
      <c r="C45" s="12">
        <v>4</v>
      </c>
    </row>
    <row r="46" spans="1:5" x14ac:dyDescent="0.25">
      <c r="A46" s="7" t="s">
        <v>273</v>
      </c>
      <c r="B46" s="12" t="s">
        <v>272</v>
      </c>
      <c r="C46" s="12">
        <v>25</v>
      </c>
    </row>
    <row r="47" spans="1:5" x14ac:dyDescent="0.25">
      <c r="A47" s="7" t="s">
        <v>69</v>
      </c>
      <c r="B47" s="12" t="s">
        <v>275</v>
      </c>
      <c r="C47" s="12">
        <v>108</v>
      </c>
    </row>
    <row r="48" spans="1:5" x14ac:dyDescent="0.25">
      <c r="A48" s="7" t="s">
        <v>264</v>
      </c>
      <c r="B48" s="12" t="s">
        <v>265</v>
      </c>
      <c r="C48" s="12">
        <v>9</v>
      </c>
    </row>
    <row r="49" spans="1:5" x14ac:dyDescent="0.25">
      <c r="A49" s="7" t="s">
        <v>54</v>
      </c>
      <c r="B49" s="12" t="s">
        <v>153</v>
      </c>
      <c r="C49" s="12">
        <v>20</v>
      </c>
    </row>
    <row r="50" spans="1:5" x14ac:dyDescent="0.25">
      <c r="A50" s="7" t="s">
        <v>259</v>
      </c>
      <c r="B50" s="12" t="s">
        <v>307</v>
      </c>
      <c r="C50" s="12">
        <v>52</v>
      </c>
    </row>
    <row r="51" spans="1:5" x14ac:dyDescent="0.25">
      <c r="A51" s="7" t="s">
        <v>44</v>
      </c>
      <c r="B51" s="12" t="s">
        <v>256</v>
      </c>
      <c r="C51" s="12">
        <v>10</v>
      </c>
    </row>
    <row r="52" spans="1:5" x14ac:dyDescent="0.25">
      <c r="A52" s="7" t="s">
        <v>38</v>
      </c>
      <c r="B52" s="12" t="s">
        <v>125</v>
      </c>
      <c r="C52" s="12">
        <v>8</v>
      </c>
    </row>
    <row r="53" spans="1:5" x14ac:dyDescent="0.25">
      <c r="A53" s="7" t="s">
        <v>39</v>
      </c>
      <c r="B53" s="12" t="s">
        <v>116</v>
      </c>
      <c r="C53" s="12">
        <v>10</v>
      </c>
    </row>
    <row r="54" spans="1:5" x14ac:dyDescent="0.25">
      <c r="A54" s="7">
        <v>37332172976</v>
      </c>
      <c r="B54" s="12" t="s">
        <v>111</v>
      </c>
      <c r="C54" s="12">
        <v>-3</v>
      </c>
    </row>
    <row r="55" spans="1:5" x14ac:dyDescent="0.25">
      <c r="A55" s="7">
        <v>37332099808</v>
      </c>
      <c r="B55" s="12" t="s">
        <v>105</v>
      </c>
      <c r="C55" s="12">
        <v>66</v>
      </c>
      <c r="D55" s="20"/>
    </row>
    <row r="56" spans="1:5" x14ac:dyDescent="0.25">
      <c r="A56" s="7" t="s">
        <v>4</v>
      </c>
      <c r="B56" s="12" t="s">
        <v>108</v>
      </c>
      <c r="C56" s="12">
        <v>2</v>
      </c>
    </row>
    <row r="57" spans="1:5" x14ac:dyDescent="0.25">
      <c r="A57" s="7" t="s">
        <v>43</v>
      </c>
      <c r="B57" s="12" t="s">
        <v>98</v>
      </c>
      <c r="C57" s="12">
        <v>29</v>
      </c>
      <c r="D57" s="20"/>
    </row>
    <row r="58" spans="1:5" s="10" customFormat="1" x14ac:dyDescent="0.25">
      <c r="A58" s="19" t="s">
        <v>10</v>
      </c>
      <c r="B58" s="20" t="s">
        <v>120</v>
      </c>
      <c r="C58" s="20">
        <v>35</v>
      </c>
      <c r="D58" s="12"/>
      <c r="E58" s="3"/>
    </row>
    <row r="59" spans="1:5" s="10" customFormat="1" x14ac:dyDescent="0.25">
      <c r="A59" s="7">
        <v>65030854962</v>
      </c>
      <c r="B59" s="12" t="s">
        <v>101</v>
      </c>
      <c r="C59" s="12">
        <v>5</v>
      </c>
      <c r="D59" s="12"/>
      <c r="E59" s="3"/>
    </row>
    <row r="60" spans="1:5" s="10" customFormat="1" x14ac:dyDescent="0.25">
      <c r="A60" s="19" t="s">
        <v>11</v>
      </c>
      <c r="B60" s="20" t="s">
        <v>260</v>
      </c>
      <c r="C60" s="20">
        <v>53</v>
      </c>
      <c r="D60" s="12"/>
      <c r="E60" s="3"/>
    </row>
    <row r="61" spans="1:5" s="10" customFormat="1" x14ac:dyDescent="0.25">
      <c r="A61" s="7" t="s">
        <v>143</v>
      </c>
      <c r="B61" s="12" t="s">
        <v>144</v>
      </c>
      <c r="C61" s="12">
        <v>5</v>
      </c>
      <c r="D61" s="12"/>
      <c r="E61" s="3"/>
    </row>
    <row r="62" spans="1:5" s="10" customFormat="1" x14ac:dyDescent="0.25">
      <c r="A62" s="7">
        <v>97855107978</v>
      </c>
      <c r="B62" s="12" t="s">
        <v>109</v>
      </c>
      <c r="C62" s="12">
        <v>29</v>
      </c>
      <c r="D62" s="12"/>
      <c r="E62" s="3"/>
    </row>
    <row r="63" spans="1:5" s="10" customFormat="1" x14ac:dyDescent="0.25">
      <c r="A63" s="7" t="s">
        <v>294</v>
      </c>
      <c r="B63" s="12" t="s">
        <v>293</v>
      </c>
      <c r="C63" s="12">
        <v>6</v>
      </c>
      <c r="D63" s="12"/>
      <c r="E63" s="3"/>
    </row>
    <row r="64" spans="1:5" s="10" customFormat="1" x14ac:dyDescent="0.25">
      <c r="A64" s="7" t="s">
        <v>298</v>
      </c>
      <c r="B64" s="12" t="s">
        <v>299</v>
      </c>
      <c r="C64" s="12">
        <v>4</v>
      </c>
      <c r="D64" s="12"/>
      <c r="E64" s="3"/>
    </row>
    <row r="65" spans="1:5" s="10" customFormat="1" x14ac:dyDescent="0.25">
      <c r="A65" s="7" t="s">
        <v>296</v>
      </c>
      <c r="B65" s="12" t="s">
        <v>297</v>
      </c>
      <c r="C65" s="12">
        <v>4</v>
      </c>
      <c r="D65" s="12"/>
      <c r="E65" s="3"/>
    </row>
    <row r="66" spans="1:5" s="10" customFormat="1" x14ac:dyDescent="0.25">
      <c r="A66" s="8" t="s">
        <v>295</v>
      </c>
      <c r="B66" s="13" t="s">
        <v>300</v>
      </c>
      <c r="C66" s="14">
        <v>30</v>
      </c>
      <c r="D66" s="20"/>
      <c r="E66" s="3"/>
    </row>
    <row r="67" spans="1:5" s="10" customFormat="1" x14ac:dyDescent="0.25">
      <c r="A67" s="8" t="s">
        <v>46</v>
      </c>
      <c r="B67" s="13" t="s">
        <v>64</v>
      </c>
      <c r="C67" s="14">
        <v>165</v>
      </c>
      <c r="D67" s="20"/>
      <c r="E67" s="3"/>
    </row>
    <row r="68" spans="1:5" x14ac:dyDescent="0.25">
      <c r="A68" s="8" t="s">
        <v>145</v>
      </c>
      <c r="B68" s="13" t="s">
        <v>146</v>
      </c>
      <c r="C68" s="14">
        <v>4</v>
      </c>
      <c r="D68" s="20"/>
    </row>
    <row r="69" spans="1:5" x14ac:dyDescent="0.25">
      <c r="A69" s="8" t="s">
        <v>82</v>
      </c>
      <c r="B69" s="13" t="s">
        <v>85</v>
      </c>
      <c r="C69" s="14">
        <v>5</v>
      </c>
      <c r="D69" s="20"/>
    </row>
    <row r="70" spans="1:5" x14ac:dyDescent="0.25">
      <c r="A70" s="8" t="s">
        <v>81</v>
      </c>
      <c r="B70" s="13" t="s">
        <v>83</v>
      </c>
      <c r="C70" s="14">
        <v>1</v>
      </c>
      <c r="D70" s="20"/>
    </row>
    <row r="71" spans="1:5" x14ac:dyDescent="0.25">
      <c r="A71" s="8" t="s">
        <v>80</v>
      </c>
      <c r="B71" s="13" t="s">
        <v>84</v>
      </c>
      <c r="C71" s="14">
        <v>3</v>
      </c>
      <c r="D71" s="20"/>
    </row>
    <row r="72" spans="1:5" x14ac:dyDescent="0.25">
      <c r="A72" s="8" t="s">
        <v>151</v>
      </c>
      <c r="B72" s="13" t="s">
        <v>152</v>
      </c>
      <c r="C72" s="14">
        <v>27</v>
      </c>
      <c r="D72" s="20"/>
    </row>
    <row r="73" spans="1:5" ht="21" x14ac:dyDescent="0.35">
      <c r="A73" s="8" t="s">
        <v>76</v>
      </c>
      <c r="B73" s="13" t="s">
        <v>122</v>
      </c>
      <c r="C73" s="14">
        <v>5</v>
      </c>
      <c r="D73" s="20"/>
      <c r="E73" s="4" t="s">
        <v>95</v>
      </c>
    </row>
    <row r="74" spans="1:5" x14ac:dyDescent="0.25">
      <c r="A74" s="8" t="s">
        <v>75</v>
      </c>
      <c r="B74" s="13" t="s">
        <v>121</v>
      </c>
      <c r="C74" s="14">
        <v>7</v>
      </c>
      <c r="D74" s="20"/>
    </row>
    <row r="75" spans="1:5" x14ac:dyDescent="0.25">
      <c r="A75" s="8" t="s">
        <v>78</v>
      </c>
      <c r="B75" s="13" t="s">
        <v>124</v>
      </c>
      <c r="C75" s="14">
        <v>0</v>
      </c>
      <c r="D75" s="20"/>
    </row>
    <row r="76" spans="1:5" x14ac:dyDescent="0.25">
      <c r="A76" s="8" t="s">
        <v>77</v>
      </c>
      <c r="B76" s="13" t="s">
        <v>123</v>
      </c>
      <c r="C76" s="14">
        <v>6</v>
      </c>
      <c r="D76" s="20"/>
    </row>
    <row r="77" spans="1:5" x14ac:dyDescent="0.25">
      <c r="A77" s="19" t="s">
        <v>149</v>
      </c>
      <c r="B77" s="20" t="s">
        <v>150</v>
      </c>
      <c r="C77" s="20">
        <v>3</v>
      </c>
      <c r="D77" s="20"/>
    </row>
    <row r="78" spans="1:5" x14ac:dyDescent="0.25">
      <c r="A78" s="19" t="s">
        <v>266</v>
      </c>
      <c r="B78" s="20" t="s">
        <v>267</v>
      </c>
      <c r="C78" s="20">
        <v>16</v>
      </c>
      <c r="D78" s="20"/>
    </row>
    <row r="79" spans="1:5" s="87" customFormat="1" x14ac:dyDescent="0.25">
      <c r="A79" s="84" t="s">
        <v>147</v>
      </c>
      <c r="B79" s="85" t="s">
        <v>148</v>
      </c>
      <c r="C79" s="85">
        <v>125</v>
      </c>
      <c r="D79" s="85"/>
      <c r="E79" s="86"/>
    </row>
    <row r="80" spans="1:5" x14ac:dyDescent="0.25">
      <c r="A80" s="19" t="s">
        <v>56</v>
      </c>
      <c r="B80" s="20" t="s">
        <v>119</v>
      </c>
      <c r="C80" s="20">
        <v>154</v>
      </c>
      <c r="D80" s="20"/>
    </row>
    <row r="81" spans="1:5" x14ac:dyDescent="0.25">
      <c r="A81" s="19" t="s">
        <v>7</v>
      </c>
      <c r="B81" s="20" t="s">
        <v>58</v>
      </c>
      <c r="C81" s="20">
        <v>20</v>
      </c>
      <c r="D81" s="20"/>
    </row>
    <row r="82" spans="1:5" x14ac:dyDescent="0.25">
      <c r="A82" s="19">
        <v>65030806312</v>
      </c>
      <c r="B82" s="20" t="s">
        <v>61</v>
      </c>
      <c r="C82" s="20">
        <v>24</v>
      </c>
      <c r="D82" s="20"/>
      <c r="E82" s="5"/>
    </row>
    <row r="83" spans="1:5" x14ac:dyDescent="0.25">
      <c r="A83" s="19">
        <v>65030845106</v>
      </c>
      <c r="B83" s="20" t="s">
        <v>62</v>
      </c>
      <c r="C83" s="20">
        <v>34</v>
      </c>
      <c r="D83" s="20"/>
    </row>
    <row r="84" spans="1:5" x14ac:dyDescent="0.25">
      <c r="A84" s="19" t="s">
        <v>60</v>
      </c>
      <c r="B84" s="20" t="s">
        <v>63</v>
      </c>
      <c r="C84" s="20">
        <v>237</v>
      </c>
      <c r="D84" s="20"/>
    </row>
    <row r="85" spans="1:5" x14ac:dyDescent="0.25">
      <c r="A85" s="19" t="s">
        <v>9</v>
      </c>
      <c r="B85" s="20" t="s">
        <v>68</v>
      </c>
      <c r="C85" s="20">
        <v>18</v>
      </c>
      <c r="D85" s="20"/>
    </row>
    <row r="86" spans="1:5" ht="16.5" customHeight="1" x14ac:dyDescent="0.25">
      <c r="A86" s="19" t="s">
        <v>70</v>
      </c>
      <c r="B86" s="20" t="s">
        <v>71</v>
      </c>
      <c r="C86" s="20">
        <v>21</v>
      </c>
      <c r="D86" s="20"/>
    </row>
    <row r="87" spans="1:5" s="91" customFormat="1" x14ac:dyDescent="0.25">
      <c r="A87" s="88" t="s">
        <v>257</v>
      </c>
      <c r="B87" s="89" t="s">
        <v>258</v>
      </c>
      <c r="C87" s="89">
        <v>5</v>
      </c>
      <c r="D87" s="89"/>
      <c r="E87" s="90"/>
    </row>
    <row r="88" spans="1:5" s="91" customFormat="1" x14ac:dyDescent="0.25">
      <c r="A88" s="88" t="s">
        <v>49</v>
      </c>
      <c r="B88" s="89" t="s">
        <v>99</v>
      </c>
      <c r="C88" s="89">
        <v>13</v>
      </c>
      <c r="D88" s="89"/>
      <c r="E88" s="90"/>
    </row>
    <row r="89" spans="1:5" s="91" customFormat="1" x14ac:dyDescent="0.25">
      <c r="A89" s="88" t="s">
        <v>50</v>
      </c>
      <c r="B89" s="89" t="s">
        <v>66</v>
      </c>
      <c r="C89" s="89">
        <v>1</v>
      </c>
      <c r="D89" s="89"/>
      <c r="E89" s="90"/>
    </row>
    <row r="90" spans="1:5" s="91" customFormat="1" x14ac:dyDescent="0.25">
      <c r="A90" s="92" t="s">
        <v>303</v>
      </c>
      <c r="B90" s="93" t="s">
        <v>313</v>
      </c>
      <c r="C90" s="93">
        <v>9</v>
      </c>
      <c r="D90" s="89"/>
      <c r="E90" s="90"/>
    </row>
    <row r="91" spans="1:5" s="91" customFormat="1" x14ac:dyDescent="0.25">
      <c r="A91" s="92" t="s">
        <v>310</v>
      </c>
      <c r="B91" s="93" t="s">
        <v>311</v>
      </c>
      <c r="C91" s="93">
        <v>21</v>
      </c>
      <c r="D91" s="89"/>
      <c r="E91" s="90"/>
    </row>
    <row r="92" spans="1:5" s="91" customFormat="1" x14ac:dyDescent="0.25">
      <c r="A92" s="92" t="s">
        <v>304</v>
      </c>
      <c r="B92" s="93" t="s">
        <v>315</v>
      </c>
      <c r="C92" s="93">
        <v>8</v>
      </c>
      <c r="D92" s="89"/>
      <c r="E92" s="90"/>
    </row>
    <row r="93" spans="1:5" s="91" customFormat="1" x14ac:dyDescent="0.25">
      <c r="A93" s="92" t="s">
        <v>306</v>
      </c>
      <c r="B93" s="93" t="s">
        <v>314</v>
      </c>
      <c r="C93" s="93">
        <v>2</v>
      </c>
      <c r="D93" s="93"/>
      <c r="E93" s="90"/>
    </row>
    <row r="94" spans="1:5" s="91" customFormat="1" x14ac:dyDescent="0.25">
      <c r="A94" s="92" t="s">
        <v>305</v>
      </c>
      <c r="B94" s="93" t="s">
        <v>312</v>
      </c>
      <c r="C94" s="93">
        <v>2</v>
      </c>
      <c r="D94" s="93"/>
      <c r="E94" s="90"/>
    </row>
    <row r="95" spans="1:5" x14ac:dyDescent="0.25">
      <c r="A95" s="19" t="s">
        <v>8</v>
      </c>
      <c r="B95" s="20" t="s">
        <v>72</v>
      </c>
      <c r="C95" s="20">
        <v>23</v>
      </c>
      <c r="D95" s="20"/>
    </row>
    <row r="96" spans="1:5" x14ac:dyDescent="0.25">
      <c r="A96" s="19" t="s">
        <v>3</v>
      </c>
      <c r="B96" s="20" t="s">
        <v>112</v>
      </c>
      <c r="C96" s="20">
        <v>30</v>
      </c>
    </row>
    <row r="97" spans="1:4" x14ac:dyDescent="0.25">
      <c r="A97" s="19" t="s">
        <v>31</v>
      </c>
      <c r="B97" s="20" t="s">
        <v>114</v>
      </c>
      <c r="C97" s="20">
        <v>18</v>
      </c>
      <c r="D97" s="20"/>
    </row>
    <row r="98" spans="1:4" x14ac:dyDescent="0.25">
      <c r="A98" s="19" t="s">
        <v>5</v>
      </c>
      <c r="B98" s="20" t="s">
        <v>36</v>
      </c>
      <c r="C98" s="20">
        <v>12</v>
      </c>
    </row>
    <row r="99" spans="1:4" x14ac:dyDescent="0.25">
      <c r="A99" s="7" t="s">
        <v>291</v>
      </c>
      <c r="B99" s="12" t="s">
        <v>292</v>
      </c>
      <c r="C99" s="12">
        <v>3</v>
      </c>
    </row>
    <row r="100" spans="1:4" x14ac:dyDescent="0.25">
      <c r="A100" s="19" t="s">
        <v>37</v>
      </c>
      <c r="B100" s="20" t="s">
        <v>103</v>
      </c>
      <c r="C100" s="20">
        <v>6</v>
      </c>
    </row>
    <row r="101" spans="1:4" x14ac:dyDescent="0.25">
      <c r="A101" s="19" t="s">
        <v>40</v>
      </c>
      <c r="B101" s="20" t="s">
        <v>102</v>
      </c>
      <c r="C101" s="20">
        <v>7</v>
      </c>
    </row>
    <row r="102" spans="1:4" x14ac:dyDescent="0.25">
      <c r="A102" s="19" t="s">
        <v>32</v>
      </c>
      <c r="B102" s="20" t="s">
        <v>100</v>
      </c>
      <c r="C102" s="20">
        <v>1</v>
      </c>
    </row>
    <row r="103" spans="1:4" x14ac:dyDescent="0.25">
      <c r="A103" s="19" t="s">
        <v>6</v>
      </c>
      <c r="B103" s="20" t="s">
        <v>113</v>
      </c>
      <c r="C103" s="20">
        <v>12</v>
      </c>
    </row>
    <row r="104" spans="1:4" x14ac:dyDescent="0.25">
      <c r="A104" s="19" t="s">
        <v>35</v>
      </c>
      <c r="B104" s="20" t="s">
        <v>67</v>
      </c>
      <c r="C104" s="20">
        <v>3</v>
      </c>
    </row>
    <row r="105" spans="1:4" x14ac:dyDescent="0.25">
      <c r="A105" s="19" t="s">
        <v>34</v>
      </c>
      <c r="B105" s="20" t="s">
        <v>115</v>
      </c>
      <c r="C105" s="20">
        <v>8</v>
      </c>
    </row>
    <row r="106" spans="1:4" x14ac:dyDescent="0.25">
      <c r="A106" s="7" t="s">
        <v>42</v>
      </c>
      <c r="B106" s="12" t="s">
        <v>106</v>
      </c>
      <c r="C106" s="12">
        <v>20</v>
      </c>
    </row>
    <row r="107" spans="1:4" x14ac:dyDescent="0.25">
      <c r="A107" s="7">
        <v>97855120267</v>
      </c>
      <c r="B107" s="12" t="s">
        <v>110</v>
      </c>
      <c r="C107" s="12">
        <v>24</v>
      </c>
    </row>
    <row r="108" spans="1:4" x14ac:dyDescent="0.25">
      <c r="A108" s="19">
        <v>97855074355</v>
      </c>
      <c r="B108" s="20" t="s">
        <v>107</v>
      </c>
      <c r="C108" s="20">
        <v>19</v>
      </c>
    </row>
    <row r="109" spans="1:4" x14ac:dyDescent="0.25">
      <c r="A109" s="7" t="s">
        <v>48</v>
      </c>
      <c r="B109" s="12" t="s">
        <v>117</v>
      </c>
      <c r="C109" s="12">
        <v>8</v>
      </c>
    </row>
    <row r="110" spans="1:4" x14ac:dyDescent="0.25">
      <c r="A110" s="19" t="s">
        <v>30</v>
      </c>
      <c r="B110" s="20" t="s">
        <v>118</v>
      </c>
      <c r="C110" s="20">
        <v>71</v>
      </c>
    </row>
  </sheetData>
  <sheetProtection selectLockedCells="1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C31" sqref="C31"/>
    </sheetView>
  </sheetViews>
  <sheetFormatPr defaultRowHeight="15" x14ac:dyDescent="0.25"/>
  <cols>
    <col min="1" max="1" width="18.42578125" customWidth="1"/>
    <col min="2" max="2" width="24.85546875" customWidth="1"/>
    <col min="3" max="3" width="46.710937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>
    <row r="1" spans="1:1" x14ac:dyDescent="0.25">
      <c r="A1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N109"/>
  <sheetViews>
    <sheetView topLeftCell="A28" workbookViewId="0">
      <selection activeCell="L65" sqref="L65"/>
    </sheetView>
  </sheetViews>
  <sheetFormatPr defaultRowHeight="15" x14ac:dyDescent="0.25"/>
  <cols>
    <col min="1" max="1" width="43.42578125" customWidth="1"/>
    <col min="2" max="2" width="20.5703125" customWidth="1"/>
    <col min="14" max="14" width="34.140625" customWidth="1"/>
  </cols>
  <sheetData>
    <row r="1" spans="1:14" x14ac:dyDescent="0.25">
      <c r="A1" s="38" t="s">
        <v>154</v>
      </c>
      <c r="B1" s="39"/>
      <c r="C1" s="36"/>
      <c r="D1" s="36"/>
      <c r="E1" s="36"/>
      <c r="F1" s="48"/>
      <c r="G1" s="48"/>
      <c r="H1" s="48"/>
      <c r="I1" s="48"/>
      <c r="J1" s="48"/>
      <c r="K1" s="48"/>
      <c r="L1" s="48"/>
      <c r="M1" s="40"/>
      <c r="N1" s="41"/>
    </row>
    <row r="2" spans="1:14" x14ac:dyDescent="0.25">
      <c r="A2" s="49" t="s">
        <v>155</v>
      </c>
      <c r="B2" s="46" t="s">
        <v>156</v>
      </c>
      <c r="C2" s="47" t="s">
        <v>157</v>
      </c>
      <c r="D2" s="47" t="s">
        <v>158</v>
      </c>
      <c r="E2" s="47" t="s">
        <v>159</v>
      </c>
      <c r="F2" s="37" t="s">
        <v>160</v>
      </c>
      <c r="G2" s="36" t="s">
        <v>161</v>
      </c>
      <c r="H2" s="37" t="s">
        <v>162</v>
      </c>
      <c r="I2" s="37" t="s">
        <v>163</v>
      </c>
      <c r="J2" s="37" t="s">
        <v>164</v>
      </c>
      <c r="K2" s="37" t="s">
        <v>165</v>
      </c>
      <c r="L2" s="37" t="s">
        <v>166</v>
      </c>
      <c r="M2" s="37" t="s">
        <v>167</v>
      </c>
      <c r="N2" s="41" t="s">
        <v>168</v>
      </c>
    </row>
    <row r="3" spans="1:14" s="63" customFormat="1" x14ac:dyDescent="0.25">
      <c r="A3" s="66" t="s">
        <v>169</v>
      </c>
      <c r="B3" s="67">
        <v>895</v>
      </c>
      <c r="C3" s="68">
        <v>0</v>
      </c>
      <c r="D3" s="69"/>
      <c r="E3" s="69">
        <v>5</v>
      </c>
      <c r="F3" s="70"/>
      <c r="G3" s="68"/>
      <c r="H3" s="50">
        <v>50</v>
      </c>
      <c r="I3" s="68"/>
      <c r="J3" s="68"/>
      <c r="K3" s="68"/>
      <c r="L3" s="71">
        <f>Inventory!C15</f>
        <v>2</v>
      </c>
      <c r="M3" s="61">
        <f t="shared" ref="M3:M16" si="0">SUM(C3:K3)</f>
        <v>55</v>
      </c>
      <c r="N3" s="62">
        <f t="shared" ref="N3:N16" si="1">B3*M3</f>
        <v>49225</v>
      </c>
    </row>
    <row r="4" spans="1:14" s="63" customFormat="1" x14ac:dyDescent="0.25">
      <c r="A4" s="66" t="s">
        <v>170</v>
      </c>
      <c r="B4" s="67">
        <v>831</v>
      </c>
      <c r="C4" s="68">
        <v>40</v>
      </c>
      <c r="D4" s="69">
        <v>34</v>
      </c>
      <c r="E4" s="69">
        <v>10</v>
      </c>
      <c r="F4" s="70">
        <v>11</v>
      </c>
      <c r="G4" s="68">
        <v>3</v>
      </c>
      <c r="H4" s="50">
        <v>36</v>
      </c>
      <c r="I4" s="68">
        <v>38</v>
      </c>
      <c r="J4" s="68"/>
      <c r="K4" s="68"/>
      <c r="L4" s="72">
        <f>Inventory!C11</f>
        <v>15</v>
      </c>
      <c r="M4" s="61">
        <f t="shared" si="0"/>
        <v>172</v>
      </c>
      <c r="N4" s="62">
        <f t="shared" si="1"/>
        <v>142932</v>
      </c>
    </row>
    <row r="5" spans="1:14" s="63" customFormat="1" x14ac:dyDescent="0.25">
      <c r="A5" s="66" t="s">
        <v>171</v>
      </c>
      <c r="B5" s="67">
        <v>952</v>
      </c>
      <c r="C5" s="68">
        <v>14</v>
      </c>
      <c r="D5" s="69"/>
      <c r="E5" s="69"/>
      <c r="F5" s="70">
        <v>1</v>
      </c>
      <c r="G5" s="68">
        <v>1</v>
      </c>
      <c r="H5" s="50"/>
      <c r="I5" s="68"/>
      <c r="J5" s="68"/>
      <c r="K5" s="68"/>
      <c r="L5" s="68"/>
      <c r="M5" s="61">
        <f t="shared" si="0"/>
        <v>16</v>
      </c>
      <c r="N5" s="62">
        <f t="shared" si="1"/>
        <v>15232</v>
      </c>
    </row>
    <row r="6" spans="1:14" s="63" customFormat="1" x14ac:dyDescent="0.25">
      <c r="A6" s="66" t="s">
        <v>172</v>
      </c>
      <c r="B6" s="67">
        <v>874</v>
      </c>
      <c r="C6" s="68">
        <v>99</v>
      </c>
      <c r="D6" s="69">
        <v>20</v>
      </c>
      <c r="E6" s="69">
        <v>2</v>
      </c>
      <c r="F6" s="70"/>
      <c r="G6" s="68"/>
      <c r="H6" s="50"/>
      <c r="I6" s="68"/>
      <c r="J6" s="68"/>
      <c r="K6" s="68"/>
      <c r="L6" s="68"/>
      <c r="M6" s="61">
        <f t="shared" si="0"/>
        <v>121</v>
      </c>
      <c r="N6" s="62">
        <f t="shared" si="1"/>
        <v>105754</v>
      </c>
    </row>
    <row r="7" spans="1:14" s="63" customFormat="1" x14ac:dyDescent="0.25">
      <c r="A7" s="66" t="s">
        <v>173</v>
      </c>
      <c r="B7" s="67">
        <v>1249</v>
      </c>
      <c r="C7" s="68">
        <v>0</v>
      </c>
      <c r="D7" s="69"/>
      <c r="E7" s="69"/>
      <c r="F7" s="70"/>
      <c r="G7" s="68">
        <v>1</v>
      </c>
      <c r="H7" s="50"/>
      <c r="I7" s="68"/>
      <c r="J7" s="68"/>
      <c r="K7" s="68"/>
      <c r="L7" s="71"/>
      <c r="M7" s="61">
        <f t="shared" si="0"/>
        <v>1</v>
      </c>
      <c r="N7" s="62">
        <f t="shared" si="1"/>
        <v>1249</v>
      </c>
    </row>
    <row r="8" spans="1:14" s="63" customFormat="1" x14ac:dyDescent="0.25">
      <c r="A8" s="66" t="s">
        <v>174</v>
      </c>
      <c r="B8" s="67">
        <v>1219</v>
      </c>
      <c r="C8" s="68">
        <v>40</v>
      </c>
      <c r="D8" s="69"/>
      <c r="E8" s="69"/>
      <c r="F8" s="70">
        <v>24</v>
      </c>
      <c r="G8" s="68"/>
      <c r="H8" s="50"/>
      <c r="I8" s="68"/>
      <c r="J8" s="68"/>
      <c r="K8" s="68"/>
      <c r="L8" s="71">
        <f>Inventory!C18</f>
        <v>4</v>
      </c>
      <c r="M8" s="61">
        <f t="shared" si="0"/>
        <v>64</v>
      </c>
      <c r="N8" s="62">
        <f t="shared" si="1"/>
        <v>78016</v>
      </c>
    </row>
    <row r="9" spans="1:14" s="63" customFormat="1" x14ac:dyDescent="0.25">
      <c r="A9" s="66" t="s">
        <v>175</v>
      </c>
      <c r="B9" s="67">
        <v>1400</v>
      </c>
      <c r="C9" s="68">
        <v>20</v>
      </c>
      <c r="D9" s="69"/>
      <c r="E9" s="69"/>
      <c r="F9" s="70"/>
      <c r="G9" s="68"/>
      <c r="H9" s="50"/>
      <c r="I9" s="73"/>
      <c r="J9" s="73"/>
      <c r="K9" s="68"/>
      <c r="L9" s="68">
        <v>2</v>
      </c>
      <c r="M9" s="61">
        <f t="shared" si="0"/>
        <v>20</v>
      </c>
      <c r="N9" s="62">
        <f t="shared" si="1"/>
        <v>28000</v>
      </c>
    </row>
    <row r="10" spans="1:14" s="63" customFormat="1" x14ac:dyDescent="0.25">
      <c r="A10" s="66" t="s">
        <v>176</v>
      </c>
      <c r="B10" s="67">
        <v>1200</v>
      </c>
      <c r="C10" s="68">
        <v>2</v>
      </c>
      <c r="D10" s="69"/>
      <c r="E10" s="69"/>
      <c r="F10" s="70"/>
      <c r="G10" s="68"/>
      <c r="H10" s="50"/>
      <c r="I10" s="52"/>
      <c r="J10" s="52"/>
      <c r="K10" s="68"/>
      <c r="L10" s="68">
        <v>1</v>
      </c>
      <c r="M10" s="61">
        <f t="shared" si="0"/>
        <v>2</v>
      </c>
      <c r="N10" s="62">
        <f t="shared" si="1"/>
        <v>2400</v>
      </c>
    </row>
    <row r="11" spans="1:14" s="63" customFormat="1" x14ac:dyDescent="0.25">
      <c r="A11" s="66" t="s">
        <v>177</v>
      </c>
      <c r="B11" s="67">
        <v>1000</v>
      </c>
      <c r="C11" s="68">
        <v>2</v>
      </c>
      <c r="D11" s="69"/>
      <c r="E11" s="69"/>
      <c r="F11" s="70"/>
      <c r="G11" s="68"/>
      <c r="H11" s="50"/>
      <c r="I11" s="52"/>
      <c r="J11" s="52"/>
      <c r="K11" s="68"/>
      <c r="L11" s="68"/>
      <c r="M11" s="61">
        <f t="shared" si="0"/>
        <v>2</v>
      </c>
      <c r="N11" s="62">
        <f t="shared" si="1"/>
        <v>2000</v>
      </c>
    </row>
    <row r="12" spans="1:14" s="63" customFormat="1" x14ac:dyDescent="0.25">
      <c r="A12" s="66" t="s">
        <v>178</v>
      </c>
      <c r="B12" s="67">
        <v>1673</v>
      </c>
      <c r="C12" s="68">
        <v>0</v>
      </c>
      <c r="D12" s="69"/>
      <c r="E12" s="69"/>
      <c r="F12" s="70"/>
      <c r="G12" s="68"/>
      <c r="H12" s="50"/>
      <c r="I12" s="52"/>
      <c r="J12" s="52"/>
      <c r="K12" s="68"/>
      <c r="L12" s="68"/>
      <c r="M12" s="61">
        <f t="shared" si="0"/>
        <v>0</v>
      </c>
      <c r="N12" s="62">
        <f t="shared" si="1"/>
        <v>0</v>
      </c>
    </row>
    <row r="13" spans="1:14" s="63" customFormat="1" x14ac:dyDescent="0.25">
      <c r="A13" s="66" t="s">
        <v>179</v>
      </c>
      <c r="B13" s="67">
        <v>1673</v>
      </c>
      <c r="C13" s="68">
        <v>8</v>
      </c>
      <c r="D13" s="69"/>
      <c r="E13" s="69"/>
      <c r="F13" s="70"/>
      <c r="G13" s="68"/>
      <c r="H13" s="50"/>
      <c r="I13" s="52"/>
      <c r="J13" s="52"/>
      <c r="K13" s="68"/>
      <c r="L13" s="68"/>
      <c r="M13" s="61">
        <f t="shared" si="0"/>
        <v>8</v>
      </c>
      <c r="N13" s="62">
        <f t="shared" si="1"/>
        <v>13384</v>
      </c>
    </row>
    <row r="14" spans="1:14" s="63" customFormat="1" x14ac:dyDescent="0.25">
      <c r="A14" s="66" t="s">
        <v>180</v>
      </c>
      <c r="B14" s="67">
        <v>1000</v>
      </c>
      <c r="C14" s="68">
        <v>2</v>
      </c>
      <c r="D14" s="69">
        <v>6</v>
      </c>
      <c r="E14" s="69">
        <v>3</v>
      </c>
      <c r="F14" s="70">
        <v>2</v>
      </c>
      <c r="G14" s="68"/>
      <c r="H14" s="50"/>
      <c r="I14" s="52"/>
      <c r="J14" s="52"/>
      <c r="K14" s="68"/>
      <c r="L14" s="68"/>
      <c r="M14" s="61">
        <f t="shared" si="0"/>
        <v>13</v>
      </c>
      <c r="N14" s="62">
        <f t="shared" si="1"/>
        <v>13000</v>
      </c>
    </row>
    <row r="15" spans="1:14" s="63" customFormat="1" x14ac:dyDescent="0.25">
      <c r="A15" s="66" t="s">
        <v>181</v>
      </c>
      <c r="B15" s="67">
        <v>1000</v>
      </c>
      <c r="C15" s="68">
        <v>3</v>
      </c>
      <c r="D15" s="69"/>
      <c r="E15" s="69"/>
      <c r="F15" s="70">
        <v>5</v>
      </c>
      <c r="G15" s="68"/>
      <c r="H15" s="50"/>
      <c r="I15" s="52"/>
      <c r="J15" s="52"/>
      <c r="K15" s="68"/>
      <c r="L15" s="68">
        <v>110</v>
      </c>
      <c r="M15" s="61">
        <f t="shared" si="0"/>
        <v>8</v>
      </c>
      <c r="N15" s="62">
        <f t="shared" si="1"/>
        <v>8000</v>
      </c>
    </row>
    <row r="16" spans="1:14" s="63" customFormat="1" x14ac:dyDescent="0.25">
      <c r="A16" s="66" t="s">
        <v>182</v>
      </c>
      <c r="B16" s="67">
        <v>1249</v>
      </c>
      <c r="C16" s="25"/>
      <c r="D16" s="69"/>
      <c r="E16" s="69"/>
      <c r="F16" s="52"/>
      <c r="G16" s="68"/>
      <c r="H16" s="50"/>
      <c r="I16" s="52"/>
      <c r="J16" s="52"/>
      <c r="K16" s="52"/>
      <c r="L16" s="71">
        <f>Inventory!C21</f>
        <v>1</v>
      </c>
      <c r="M16" s="61">
        <f t="shared" si="0"/>
        <v>0</v>
      </c>
      <c r="N16" s="62">
        <f t="shared" si="1"/>
        <v>0</v>
      </c>
    </row>
    <row r="17" spans="1:14" x14ac:dyDescent="0.25">
      <c r="A17" s="95" t="s">
        <v>183</v>
      </c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97"/>
      <c r="N17" s="45">
        <f>SUM(N3:N16)</f>
        <v>459192</v>
      </c>
    </row>
    <row r="18" spans="1:14" x14ac:dyDescent="0.25">
      <c r="A18" s="94" t="s">
        <v>184</v>
      </c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</row>
    <row r="19" spans="1:14" x14ac:dyDescent="0.25">
      <c r="A19" s="94" t="s">
        <v>185</v>
      </c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</row>
    <row r="20" spans="1:14" s="63" customFormat="1" x14ac:dyDescent="0.25">
      <c r="A20" s="21" t="s">
        <v>186</v>
      </c>
      <c r="B20" s="30">
        <v>583</v>
      </c>
      <c r="C20" s="25">
        <v>0</v>
      </c>
      <c r="D20" s="56"/>
      <c r="E20" s="56">
        <v>2</v>
      </c>
      <c r="F20" s="28"/>
      <c r="G20" s="25"/>
      <c r="H20" s="50">
        <v>112</v>
      </c>
      <c r="I20" s="52"/>
      <c r="J20" s="52"/>
      <c r="K20" s="25"/>
      <c r="L20" s="25">
        <f>Inventory!C34</f>
        <v>1</v>
      </c>
      <c r="M20" s="61">
        <f t="shared" ref="M20:M32" si="2">SUM(C20:K20)</f>
        <v>114</v>
      </c>
      <c r="N20" s="62">
        <f t="shared" ref="N20:N32" si="3">B20*M20</f>
        <v>66462</v>
      </c>
    </row>
    <row r="21" spans="1:14" s="63" customFormat="1" x14ac:dyDescent="0.25">
      <c r="A21" s="21" t="s">
        <v>187</v>
      </c>
      <c r="B21" s="30">
        <v>583</v>
      </c>
      <c r="C21" s="25">
        <v>0</v>
      </c>
      <c r="D21" s="56">
        <v>132</v>
      </c>
      <c r="E21" s="56">
        <v>3</v>
      </c>
      <c r="F21" s="28">
        <v>2</v>
      </c>
      <c r="G21" s="25"/>
      <c r="H21" s="50">
        <v>11</v>
      </c>
      <c r="I21" s="25">
        <v>1</v>
      </c>
      <c r="J21" s="25"/>
      <c r="K21" s="25"/>
      <c r="L21" s="25">
        <f>Inventory!C27</f>
        <v>0</v>
      </c>
      <c r="M21" s="61">
        <f t="shared" si="2"/>
        <v>149</v>
      </c>
      <c r="N21" s="62">
        <f t="shared" si="3"/>
        <v>86867</v>
      </c>
    </row>
    <row r="22" spans="1:14" s="63" customFormat="1" x14ac:dyDescent="0.25">
      <c r="A22" s="21" t="s">
        <v>188</v>
      </c>
      <c r="B22" s="30">
        <v>583</v>
      </c>
      <c r="C22" s="65">
        <v>1533</v>
      </c>
      <c r="D22" s="56"/>
      <c r="E22" s="56"/>
      <c r="F22" s="28"/>
      <c r="G22" s="25">
        <v>2</v>
      </c>
      <c r="H22" s="50"/>
      <c r="I22" s="65"/>
      <c r="J22" s="65">
        <v>4</v>
      </c>
      <c r="K22" s="65">
        <v>30</v>
      </c>
      <c r="L22" s="65">
        <f>Inventory!C28</f>
        <v>4</v>
      </c>
      <c r="M22" s="61">
        <f t="shared" si="2"/>
        <v>1569</v>
      </c>
      <c r="N22" s="62">
        <f t="shared" si="3"/>
        <v>914727</v>
      </c>
    </row>
    <row r="23" spans="1:14" s="63" customFormat="1" x14ac:dyDescent="0.25">
      <c r="A23" s="21" t="s">
        <v>189</v>
      </c>
      <c r="B23" s="30">
        <v>583</v>
      </c>
      <c r="C23" s="25">
        <v>66</v>
      </c>
      <c r="D23" s="56">
        <v>47</v>
      </c>
      <c r="E23" s="56"/>
      <c r="F23" s="28">
        <v>10</v>
      </c>
      <c r="G23" s="25">
        <v>1</v>
      </c>
      <c r="H23" s="50">
        <v>37</v>
      </c>
      <c r="I23" s="25">
        <v>104</v>
      </c>
      <c r="J23" s="25"/>
      <c r="K23" s="25"/>
      <c r="L23" s="25"/>
      <c r="M23" s="61">
        <f t="shared" si="2"/>
        <v>265</v>
      </c>
      <c r="N23" s="62">
        <f t="shared" si="3"/>
        <v>154495</v>
      </c>
    </row>
    <row r="24" spans="1:14" s="63" customFormat="1" x14ac:dyDescent="0.25">
      <c r="A24" s="21" t="s">
        <v>190</v>
      </c>
      <c r="B24" s="30">
        <v>548</v>
      </c>
      <c r="C24" s="25">
        <v>400</v>
      </c>
      <c r="D24" s="56"/>
      <c r="E24" s="56"/>
      <c r="F24" s="28"/>
      <c r="G24" s="25"/>
      <c r="H24" s="50"/>
      <c r="I24" s="25"/>
      <c r="J24" s="25">
        <v>182</v>
      </c>
      <c r="K24" s="25"/>
      <c r="L24" s="25">
        <f>Inventory!C29</f>
        <v>28</v>
      </c>
      <c r="M24" s="61">
        <f t="shared" si="2"/>
        <v>582</v>
      </c>
      <c r="N24" s="62">
        <f t="shared" si="3"/>
        <v>318936</v>
      </c>
    </row>
    <row r="25" spans="1:14" s="63" customFormat="1" x14ac:dyDescent="0.25">
      <c r="A25" s="21" t="s">
        <v>191</v>
      </c>
      <c r="B25" s="30">
        <v>794</v>
      </c>
      <c r="C25" s="25">
        <v>5</v>
      </c>
      <c r="D25" s="56"/>
      <c r="E25" s="56"/>
      <c r="F25" s="28"/>
      <c r="G25" s="25"/>
      <c r="H25" s="50"/>
      <c r="I25" s="25"/>
      <c r="J25" s="25"/>
      <c r="K25" s="25"/>
      <c r="L25" s="25"/>
      <c r="M25" s="61">
        <f t="shared" si="2"/>
        <v>5</v>
      </c>
      <c r="N25" s="62">
        <f t="shared" si="3"/>
        <v>3970</v>
      </c>
    </row>
    <row r="26" spans="1:14" s="63" customFormat="1" x14ac:dyDescent="0.25">
      <c r="A26" s="21" t="s">
        <v>192</v>
      </c>
      <c r="B26" s="30">
        <v>794</v>
      </c>
      <c r="C26" s="25">
        <v>0</v>
      </c>
      <c r="D26" s="56"/>
      <c r="E26" s="56"/>
      <c r="F26" s="28"/>
      <c r="G26" s="25"/>
      <c r="H26" s="50"/>
      <c r="I26" s="25"/>
      <c r="J26" s="25"/>
      <c r="K26" s="25"/>
      <c r="L26" s="25"/>
      <c r="M26" s="61">
        <f t="shared" si="2"/>
        <v>0</v>
      </c>
      <c r="N26" s="62">
        <f t="shared" si="3"/>
        <v>0</v>
      </c>
    </row>
    <row r="27" spans="1:14" s="63" customFormat="1" x14ac:dyDescent="0.25">
      <c r="A27" s="21" t="s">
        <v>193</v>
      </c>
      <c r="B27" s="30">
        <v>1585</v>
      </c>
      <c r="C27" s="25">
        <v>3</v>
      </c>
      <c r="D27" s="56"/>
      <c r="E27" s="56"/>
      <c r="F27" s="28">
        <v>5</v>
      </c>
      <c r="G27" s="25">
        <v>1</v>
      </c>
      <c r="H27" s="50">
        <v>4</v>
      </c>
      <c r="I27" s="25"/>
      <c r="J27" s="25"/>
      <c r="K27" s="25"/>
      <c r="L27" s="25"/>
      <c r="M27" s="61">
        <f t="shared" si="2"/>
        <v>13</v>
      </c>
      <c r="N27" s="62">
        <f t="shared" si="3"/>
        <v>20605</v>
      </c>
    </row>
    <row r="28" spans="1:14" s="63" customFormat="1" x14ac:dyDescent="0.25">
      <c r="A28" s="21" t="s">
        <v>194</v>
      </c>
      <c r="B28" s="30">
        <v>844</v>
      </c>
      <c r="C28" s="25">
        <v>15</v>
      </c>
      <c r="D28" s="56"/>
      <c r="E28" s="56"/>
      <c r="F28" s="28"/>
      <c r="G28" s="25">
        <v>1</v>
      </c>
      <c r="H28" s="50"/>
      <c r="I28" s="25"/>
      <c r="J28" s="25"/>
      <c r="K28" s="25"/>
      <c r="L28" s="25"/>
      <c r="M28" s="61">
        <f t="shared" si="2"/>
        <v>16</v>
      </c>
      <c r="N28" s="62">
        <f t="shared" si="3"/>
        <v>13504</v>
      </c>
    </row>
    <row r="29" spans="1:14" s="63" customFormat="1" x14ac:dyDescent="0.25">
      <c r="A29" s="21" t="s">
        <v>195</v>
      </c>
      <c r="B29" s="30">
        <v>844</v>
      </c>
      <c r="C29" s="25">
        <v>0</v>
      </c>
      <c r="D29" s="56"/>
      <c r="E29" s="56"/>
      <c r="F29" s="28"/>
      <c r="G29" s="25"/>
      <c r="H29" s="50"/>
      <c r="I29" s="25"/>
      <c r="J29" s="25"/>
      <c r="K29" s="25"/>
      <c r="L29" s="25"/>
      <c r="M29" s="61">
        <f t="shared" si="2"/>
        <v>0</v>
      </c>
      <c r="N29" s="62">
        <f t="shared" si="3"/>
        <v>0</v>
      </c>
    </row>
    <row r="30" spans="1:14" s="63" customFormat="1" x14ac:dyDescent="0.25">
      <c r="A30" s="21" t="s">
        <v>196</v>
      </c>
      <c r="B30" s="30">
        <v>844</v>
      </c>
      <c r="C30" s="25">
        <v>30</v>
      </c>
      <c r="D30" s="56"/>
      <c r="E30" s="56"/>
      <c r="F30" s="28"/>
      <c r="G30" s="25"/>
      <c r="H30" s="50">
        <v>1</v>
      </c>
      <c r="I30" s="25"/>
      <c r="J30" s="25"/>
      <c r="K30" s="25"/>
      <c r="L30" s="25"/>
      <c r="M30" s="61">
        <f t="shared" si="2"/>
        <v>31</v>
      </c>
      <c r="N30" s="62">
        <f t="shared" si="3"/>
        <v>26164</v>
      </c>
    </row>
    <row r="31" spans="1:14" s="63" customFormat="1" x14ac:dyDescent="0.25">
      <c r="A31" s="21" t="s">
        <v>197</v>
      </c>
      <c r="B31" s="30">
        <v>1000</v>
      </c>
      <c r="C31" s="25">
        <v>12</v>
      </c>
      <c r="D31" s="56"/>
      <c r="E31" s="56"/>
      <c r="F31" s="28"/>
      <c r="G31" s="25"/>
      <c r="H31" s="50"/>
      <c r="I31" s="25"/>
      <c r="J31" s="25"/>
      <c r="K31" s="25"/>
      <c r="L31" s="25"/>
      <c r="M31" s="61">
        <f t="shared" si="2"/>
        <v>12</v>
      </c>
      <c r="N31" s="62">
        <f t="shared" si="3"/>
        <v>12000</v>
      </c>
    </row>
    <row r="32" spans="1:14" s="63" customFormat="1" x14ac:dyDescent="0.25">
      <c r="A32" s="21" t="s">
        <v>198</v>
      </c>
      <c r="B32" s="30">
        <v>560</v>
      </c>
      <c r="C32" s="25">
        <v>15</v>
      </c>
      <c r="D32" s="56">
        <v>80</v>
      </c>
      <c r="E32" s="56"/>
      <c r="F32" s="28">
        <v>42</v>
      </c>
      <c r="G32" s="25"/>
      <c r="H32" s="50">
        <v>23</v>
      </c>
      <c r="I32" s="25">
        <v>43</v>
      </c>
      <c r="J32" s="25">
        <v>60</v>
      </c>
      <c r="K32" s="25"/>
      <c r="L32" s="25">
        <v>90</v>
      </c>
      <c r="M32" s="61">
        <f t="shared" si="2"/>
        <v>263</v>
      </c>
      <c r="N32" s="62">
        <f t="shared" si="3"/>
        <v>147280</v>
      </c>
    </row>
    <row r="33" spans="1:14" x14ac:dyDescent="0.25">
      <c r="A33" s="95" t="s">
        <v>183</v>
      </c>
      <c r="B33" s="96"/>
      <c r="C33" s="96"/>
      <c r="D33" s="96"/>
      <c r="E33" s="96"/>
      <c r="F33" s="96"/>
      <c r="G33" s="96"/>
      <c r="H33" s="96"/>
      <c r="I33" s="96"/>
      <c r="J33" s="96"/>
      <c r="K33" s="96"/>
      <c r="L33" s="96"/>
      <c r="M33" s="97"/>
      <c r="N33" s="45">
        <f>SUM(N20:N32)</f>
        <v>1765010</v>
      </c>
    </row>
    <row r="34" spans="1:14" x14ac:dyDescent="0.25">
      <c r="A34" s="94" t="s">
        <v>199</v>
      </c>
      <c r="B34" s="94"/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</row>
    <row r="35" spans="1:14" x14ac:dyDescent="0.25">
      <c r="A35" s="94" t="s">
        <v>200</v>
      </c>
      <c r="B35" s="94"/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</row>
    <row r="36" spans="1:14" s="63" customFormat="1" x14ac:dyDescent="0.25">
      <c r="A36" s="21" t="s">
        <v>201</v>
      </c>
      <c r="B36" s="30">
        <v>239</v>
      </c>
      <c r="C36" s="25">
        <v>27</v>
      </c>
      <c r="D36" s="56"/>
      <c r="E36" s="56"/>
      <c r="F36" s="28">
        <v>5</v>
      </c>
      <c r="G36" s="52"/>
      <c r="H36" s="52"/>
      <c r="I36" s="25"/>
      <c r="J36" s="52"/>
      <c r="K36" s="25"/>
      <c r="L36" s="25"/>
      <c r="M36" s="61">
        <f t="shared" ref="M36:M51" si="4">SUM(C36:K36)</f>
        <v>32</v>
      </c>
      <c r="N36" s="62">
        <f t="shared" ref="N36:N51" si="5">B36*M36</f>
        <v>7648</v>
      </c>
    </row>
    <row r="37" spans="1:14" s="63" customFormat="1" x14ac:dyDescent="0.25">
      <c r="A37" s="21" t="s">
        <v>202</v>
      </c>
      <c r="B37" s="30">
        <v>146</v>
      </c>
      <c r="C37" s="25">
        <v>360</v>
      </c>
      <c r="D37" s="56">
        <v>6</v>
      </c>
      <c r="E37" s="56">
        <v>5</v>
      </c>
      <c r="F37" s="28">
        <v>22</v>
      </c>
      <c r="G37" s="25">
        <v>2</v>
      </c>
      <c r="H37" s="50">
        <v>123</v>
      </c>
      <c r="I37" s="25">
        <v>54</v>
      </c>
      <c r="J37" s="52">
        <v>35</v>
      </c>
      <c r="K37" s="25"/>
      <c r="L37" s="25" t="e">
        <f>Inventory!#REF!</f>
        <v>#REF!</v>
      </c>
      <c r="M37" s="61">
        <f t="shared" si="4"/>
        <v>607</v>
      </c>
      <c r="N37" s="62">
        <f t="shared" si="5"/>
        <v>88622</v>
      </c>
    </row>
    <row r="38" spans="1:14" s="63" customFormat="1" x14ac:dyDescent="0.25">
      <c r="A38" s="23" t="s">
        <v>203</v>
      </c>
      <c r="B38" s="31">
        <v>300</v>
      </c>
      <c r="C38" s="26">
        <v>9</v>
      </c>
      <c r="D38" s="57"/>
      <c r="E38" s="57"/>
      <c r="F38" s="29"/>
      <c r="G38" s="52"/>
      <c r="H38" s="52"/>
      <c r="I38" s="26"/>
      <c r="J38" s="52"/>
      <c r="K38" s="26"/>
      <c r="L38" s="26"/>
      <c r="M38" s="61">
        <f t="shared" si="4"/>
        <v>9</v>
      </c>
      <c r="N38" s="62">
        <f t="shared" si="5"/>
        <v>2700</v>
      </c>
    </row>
    <row r="39" spans="1:14" s="63" customFormat="1" x14ac:dyDescent="0.25">
      <c r="A39" s="23" t="s">
        <v>204</v>
      </c>
      <c r="B39" s="31">
        <v>356</v>
      </c>
      <c r="C39" s="26">
        <v>12</v>
      </c>
      <c r="D39" s="57"/>
      <c r="E39" s="57"/>
      <c r="F39" s="74"/>
      <c r="G39" s="52"/>
      <c r="H39" s="52"/>
      <c r="I39" s="26"/>
      <c r="J39" s="52"/>
      <c r="K39" s="26"/>
      <c r="L39" s="26"/>
      <c r="M39" s="61">
        <f t="shared" si="4"/>
        <v>12</v>
      </c>
      <c r="N39" s="62">
        <f t="shared" si="5"/>
        <v>4272</v>
      </c>
    </row>
    <row r="40" spans="1:14" s="63" customFormat="1" x14ac:dyDescent="0.25">
      <c r="A40" s="23" t="s">
        <v>205</v>
      </c>
      <c r="B40" s="31">
        <v>750</v>
      </c>
      <c r="C40" s="64">
        <v>2</v>
      </c>
      <c r="D40" s="57"/>
      <c r="E40" s="57"/>
      <c r="F40" s="74"/>
      <c r="G40" s="52"/>
      <c r="H40" s="52"/>
      <c r="I40" s="64"/>
      <c r="J40" s="52"/>
      <c r="K40" s="64"/>
      <c r="L40" s="64"/>
      <c r="M40" s="61">
        <f t="shared" si="4"/>
        <v>2</v>
      </c>
      <c r="N40" s="62">
        <f t="shared" si="5"/>
        <v>1500</v>
      </c>
    </row>
    <row r="41" spans="1:14" s="63" customFormat="1" x14ac:dyDescent="0.25">
      <c r="A41" s="23" t="s">
        <v>206</v>
      </c>
      <c r="B41" s="31">
        <v>1400</v>
      </c>
      <c r="C41" s="64">
        <v>2</v>
      </c>
      <c r="D41" s="57"/>
      <c r="E41" s="57"/>
      <c r="F41" s="29"/>
      <c r="G41" s="52"/>
      <c r="H41" s="52"/>
      <c r="I41" s="64"/>
      <c r="J41" s="52"/>
      <c r="K41" s="64"/>
      <c r="L41" s="64"/>
      <c r="M41" s="61">
        <f t="shared" si="4"/>
        <v>2</v>
      </c>
      <c r="N41" s="62">
        <f t="shared" si="5"/>
        <v>2800</v>
      </c>
    </row>
    <row r="42" spans="1:14" s="63" customFormat="1" x14ac:dyDescent="0.25">
      <c r="A42" s="23" t="s">
        <v>207</v>
      </c>
      <c r="B42" s="31">
        <v>300</v>
      </c>
      <c r="C42" s="26">
        <v>25</v>
      </c>
      <c r="D42" s="57"/>
      <c r="E42" s="57"/>
      <c r="F42" s="29"/>
      <c r="G42" s="52"/>
      <c r="H42" s="52"/>
      <c r="I42" s="26">
        <v>2</v>
      </c>
      <c r="J42" s="52"/>
      <c r="K42" s="26"/>
      <c r="L42" s="26"/>
      <c r="M42" s="61">
        <f t="shared" si="4"/>
        <v>27</v>
      </c>
      <c r="N42" s="62">
        <f t="shared" si="5"/>
        <v>8100</v>
      </c>
    </row>
    <row r="43" spans="1:14" s="63" customFormat="1" x14ac:dyDescent="0.25">
      <c r="A43" s="23" t="s">
        <v>208</v>
      </c>
      <c r="B43" s="31">
        <v>200</v>
      </c>
      <c r="C43" s="26">
        <v>4</v>
      </c>
      <c r="D43" s="57"/>
      <c r="E43" s="57">
        <v>2</v>
      </c>
      <c r="F43" s="29">
        <v>1</v>
      </c>
      <c r="G43" s="52">
        <v>1</v>
      </c>
      <c r="H43" s="52">
        <v>10</v>
      </c>
      <c r="I43" s="26"/>
      <c r="J43" s="52"/>
      <c r="K43" s="26"/>
      <c r="L43" s="26"/>
      <c r="M43" s="61">
        <f t="shared" si="4"/>
        <v>18</v>
      </c>
      <c r="N43" s="62">
        <f t="shared" si="5"/>
        <v>3600</v>
      </c>
    </row>
    <row r="44" spans="1:14" s="63" customFormat="1" x14ac:dyDescent="0.25">
      <c r="A44" s="23" t="s">
        <v>209</v>
      </c>
      <c r="B44" s="31">
        <v>600</v>
      </c>
      <c r="C44" s="26">
        <v>4</v>
      </c>
      <c r="D44" s="57"/>
      <c r="E44" s="57"/>
      <c r="F44" s="29"/>
      <c r="G44" s="52"/>
      <c r="H44" s="52"/>
      <c r="I44" s="26"/>
      <c r="J44" s="52"/>
      <c r="K44" s="26"/>
      <c r="L44" s="26"/>
      <c r="M44" s="61">
        <f t="shared" si="4"/>
        <v>4</v>
      </c>
      <c r="N44" s="62">
        <f t="shared" si="5"/>
        <v>2400</v>
      </c>
    </row>
    <row r="45" spans="1:14" s="63" customFormat="1" x14ac:dyDescent="0.25">
      <c r="A45" s="23" t="s">
        <v>210</v>
      </c>
      <c r="B45" s="31"/>
      <c r="C45" s="26">
        <v>0</v>
      </c>
      <c r="D45" s="57"/>
      <c r="E45" s="57"/>
      <c r="F45" s="29"/>
      <c r="G45" s="52"/>
      <c r="H45" s="52"/>
      <c r="I45" s="26"/>
      <c r="J45" s="52"/>
      <c r="K45" s="26"/>
      <c r="L45" s="26"/>
      <c r="M45" s="61">
        <f t="shared" si="4"/>
        <v>0</v>
      </c>
      <c r="N45" s="62">
        <f t="shared" si="5"/>
        <v>0</v>
      </c>
    </row>
    <row r="46" spans="1:14" s="63" customFormat="1" x14ac:dyDescent="0.25">
      <c r="A46" s="23" t="s">
        <v>211</v>
      </c>
      <c r="B46" s="31">
        <v>150</v>
      </c>
      <c r="C46" s="26">
        <v>0</v>
      </c>
      <c r="D46" s="57"/>
      <c r="E46" s="57"/>
      <c r="F46" s="29"/>
      <c r="G46" s="52"/>
      <c r="H46" s="52"/>
      <c r="I46" s="26"/>
      <c r="J46" s="52"/>
      <c r="K46" s="26"/>
      <c r="L46" s="26"/>
      <c r="M46" s="61">
        <f t="shared" si="4"/>
        <v>0</v>
      </c>
      <c r="N46" s="62">
        <f t="shared" si="5"/>
        <v>0</v>
      </c>
    </row>
    <row r="47" spans="1:14" s="63" customFormat="1" x14ac:dyDescent="0.25">
      <c r="A47" s="23" t="s">
        <v>212</v>
      </c>
      <c r="B47" s="31">
        <v>300</v>
      </c>
      <c r="C47" s="26">
        <v>4</v>
      </c>
      <c r="D47" s="57"/>
      <c r="E47" s="57"/>
      <c r="F47" s="29"/>
      <c r="G47" s="52"/>
      <c r="H47" s="52"/>
      <c r="I47" s="26"/>
      <c r="J47" s="52"/>
      <c r="K47" s="26"/>
      <c r="L47" s="26"/>
      <c r="M47" s="61">
        <f t="shared" si="4"/>
        <v>4</v>
      </c>
      <c r="N47" s="62">
        <f t="shared" si="5"/>
        <v>1200</v>
      </c>
    </row>
    <row r="48" spans="1:14" s="63" customFormat="1" x14ac:dyDescent="0.25">
      <c r="A48" s="23" t="s">
        <v>213</v>
      </c>
      <c r="B48" s="31">
        <v>300</v>
      </c>
      <c r="C48" s="26">
        <v>0</v>
      </c>
      <c r="D48" s="57"/>
      <c r="E48" s="57">
        <v>7</v>
      </c>
      <c r="F48" s="29"/>
      <c r="G48" s="52"/>
      <c r="H48" s="52">
        <v>3</v>
      </c>
      <c r="I48" s="26">
        <v>2</v>
      </c>
      <c r="J48" s="52"/>
      <c r="K48" s="26"/>
      <c r="L48" s="26"/>
      <c r="M48" s="61">
        <f t="shared" si="4"/>
        <v>12</v>
      </c>
      <c r="N48" s="62">
        <f t="shared" si="5"/>
        <v>3600</v>
      </c>
    </row>
    <row r="49" spans="1:14" s="63" customFormat="1" x14ac:dyDescent="0.25">
      <c r="A49" s="23" t="s">
        <v>214</v>
      </c>
      <c r="B49" s="31">
        <v>400</v>
      </c>
      <c r="C49" s="26">
        <v>6</v>
      </c>
      <c r="D49" s="57"/>
      <c r="E49" s="57"/>
      <c r="F49" s="29"/>
      <c r="G49" s="52"/>
      <c r="H49" s="52"/>
      <c r="I49" s="26"/>
      <c r="J49" s="52"/>
      <c r="K49" s="26"/>
      <c r="L49" s="26"/>
      <c r="M49" s="61">
        <f t="shared" si="4"/>
        <v>6</v>
      </c>
      <c r="N49" s="62">
        <f t="shared" si="5"/>
        <v>2400</v>
      </c>
    </row>
    <row r="50" spans="1:14" s="63" customFormat="1" x14ac:dyDescent="0.25">
      <c r="A50" s="23" t="s">
        <v>215</v>
      </c>
      <c r="B50" s="31">
        <v>600</v>
      </c>
      <c r="C50" s="26">
        <v>0</v>
      </c>
      <c r="D50" s="57"/>
      <c r="E50" s="57"/>
      <c r="F50" s="29">
        <v>1</v>
      </c>
      <c r="G50" s="52"/>
      <c r="H50" s="52">
        <v>2</v>
      </c>
      <c r="I50" s="26"/>
      <c r="J50" s="52"/>
      <c r="K50" s="26"/>
      <c r="L50" s="26">
        <v>1</v>
      </c>
      <c r="M50" s="61">
        <f t="shared" si="4"/>
        <v>3</v>
      </c>
      <c r="N50" s="62">
        <f t="shared" si="5"/>
        <v>1800</v>
      </c>
    </row>
    <row r="51" spans="1:14" s="63" customFormat="1" x14ac:dyDescent="0.25">
      <c r="A51" s="23" t="s">
        <v>216</v>
      </c>
      <c r="B51" s="31">
        <v>600</v>
      </c>
      <c r="C51" s="26">
        <v>1</v>
      </c>
      <c r="D51" s="57"/>
      <c r="E51" s="57"/>
      <c r="F51" s="29"/>
      <c r="G51" s="52"/>
      <c r="H51" s="52">
        <v>1</v>
      </c>
      <c r="I51" s="52"/>
      <c r="J51" s="52"/>
      <c r="K51" s="26"/>
      <c r="L51" s="26">
        <v>2</v>
      </c>
      <c r="M51" s="61">
        <f t="shared" si="4"/>
        <v>2</v>
      </c>
      <c r="N51" s="62">
        <f t="shared" si="5"/>
        <v>1200</v>
      </c>
    </row>
    <row r="52" spans="1:14" x14ac:dyDescent="0.25">
      <c r="A52" s="95" t="s">
        <v>183</v>
      </c>
      <c r="B52" s="96"/>
      <c r="C52" s="96"/>
      <c r="D52" s="96"/>
      <c r="E52" s="96"/>
      <c r="F52" s="96"/>
      <c r="G52" s="96"/>
      <c r="H52" s="96"/>
      <c r="I52" s="96"/>
      <c r="J52" s="96"/>
      <c r="K52" s="96"/>
      <c r="L52" s="96"/>
      <c r="M52" s="97"/>
      <c r="N52" s="45">
        <f>SUM(N36:N51)</f>
        <v>131842</v>
      </c>
    </row>
    <row r="53" spans="1:14" x14ac:dyDescent="0.25">
      <c r="A53" s="94" t="s">
        <v>217</v>
      </c>
      <c r="B53" s="94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</row>
    <row r="54" spans="1:14" x14ac:dyDescent="0.25">
      <c r="A54" s="94" t="s">
        <v>200</v>
      </c>
      <c r="B54" s="94"/>
      <c r="C54" s="94"/>
      <c r="D54" s="94"/>
      <c r="E54" s="94"/>
      <c r="F54" s="94"/>
      <c r="G54" s="94"/>
      <c r="H54" s="94"/>
      <c r="I54" s="94"/>
      <c r="J54" s="94"/>
      <c r="K54" s="94"/>
      <c r="L54" s="94"/>
      <c r="M54" s="94"/>
      <c r="N54" s="94"/>
    </row>
    <row r="55" spans="1:14" x14ac:dyDescent="0.25">
      <c r="A55" s="22" t="s">
        <v>218</v>
      </c>
      <c r="B55" s="32">
        <v>5000</v>
      </c>
      <c r="C55" s="27">
        <v>7</v>
      </c>
      <c r="D55" s="27"/>
      <c r="E55" s="27"/>
      <c r="F55" s="51"/>
      <c r="G55" s="51"/>
      <c r="H55" s="51">
        <v>2</v>
      </c>
      <c r="I55" s="51"/>
      <c r="J55" s="51"/>
      <c r="K55" s="27"/>
      <c r="L55" s="27"/>
      <c r="M55" s="42">
        <f>SUM(C55:K55)</f>
        <v>9</v>
      </c>
      <c r="N55" s="43">
        <f>B55*M55</f>
        <v>45000</v>
      </c>
    </row>
    <row r="56" spans="1:14" x14ac:dyDescent="0.25">
      <c r="A56" s="22" t="s">
        <v>219</v>
      </c>
      <c r="B56" s="32">
        <v>5000</v>
      </c>
      <c r="C56" s="27">
        <v>1</v>
      </c>
      <c r="D56" s="27"/>
      <c r="E56" s="27"/>
      <c r="F56" s="51"/>
      <c r="G56" s="51"/>
      <c r="H56" s="51"/>
      <c r="I56" s="51"/>
      <c r="J56" s="51"/>
      <c r="K56" s="27">
        <v>6</v>
      </c>
      <c r="L56" s="27"/>
      <c r="M56" s="42">
        <f>SUM(C56:K56)</f>
        <v>7</v>
      </c>
      <c r="N56" s="43">
        <f>B56*M56</f>
        <v>35000</v>
      </c>
    </row>
    <row r="57" spans="1:14" x14ac:dyDescent="0.25">
      <c r="A57" s="22" t="s">
        <v>220</v>
      </c>
      <c r="B57" s="32">
        <v>5000</v>
      </c>
      <c r="C57" s="27">
        <v>10</v>
      </c>
      <c r="D57" s="27"/>
      <c r="E57" s="27"/>
      <c r="F57" s="51"/>
      <c r="G57" s="51"/>
      <c r="H57" s="51"/>
      <c r="I57" s="51"/>
      <c r="J57" s="51"/>
      <c r="K57" s="27"/>
      <c r="L57" s="27"/>
      <c r="M57" s="42">
        <f>SUM(C57:K57)</f>
        <v>10</v>
      </c>
      <c r="N57" s="43">
        <f>B57*M57</f>
        <v>50000</v>
      </c>
    </row>
    <row r="58" spans="1:14" x14ac:dyDescent="0.25">
      <c r="A58" s="95" t="s">
        <v>183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  <c r="L58" s="96"/>
      <c r="M58" s="97"/>
      <c r="N58" s="45">
        <f>SUM(N55:N57)</f>
        <v>130000</v>
      </c>
    </row>
    <row r="59" spans="1:14" x14ac:dyDescent="0.25">
      <c r="A59" s="94" t="s">
        <v>221</v>
      </c>
      <c r="B59" s="94"/>
      <c r="C59" s="94"/>
      <c r="D59" s="94"/>
      <c r="E59" s="94"/>
      <c r="F59" s="94"/>
      <c r="G59" s="94"/>
      <c r="H59" s="94"/>
      <c r="I59" s="94"/>
      <c r="J59" s="94"/>
      <c r="K59" s="94"/>
      <c r="L59" s="94"/>
      <c r="M59" s="94"/>
      <c r="N59" s="94"/>
    </row>
    <row r="60" spans="1:14" x14ac:dyDescent="0.25">
      <c r="A60" s="94" t="s">
        <v>200</v>
      </c>
      <c r="B60" s="94"/>
      <c r="C60" s="94"/>
      <c r="D60" s="94"/>
      <c r="E60" s="94"/>
      <c r="F60" s="94"/>
      <c r="G60" s="94"/>
      <c r="H60" s="94"/>
      <c r="I60" s="94"/>
      <c r="J60" s="94"/>
      <c r="K60" s="94"/>
      <c r="L60" s="94"/>
      <c r="M60" s="94"/>
      <c r="N60" s="94"/>
    </row>
    <row r="61" spans="1:14" s="63" customFormat="1" x14ac:dyDescent="0.25">
      <c r="A61" s="24" t="s">
        <v>222</v>
      </c>
      <c r="B61" s="33">
        <v>150</v>
      </c>
      <c r="C61" s="50">
        <v>170</v>
      </c>
      <c r="D61" s="58"/>
      <c r="E61" s="58"/>
      <c r="F61" s="52">
        <v>37</v>
      </c>
      <c r="G61" s="50">
        <v>1</v>
      </c>
      <c r="H61" s="50">
        <v>49</v>
      </c>
      <c r="I61" s="52"/>
      <c r="J61" s="52"/>
      <c r="K61" s="52"/>
      <c r="L61" s="52">
        <v>0</v>
      </c>
      <c r="M61" s="61">
        <f t="shared" ref="M61:M70" si="6">SUM(C61:K61)</f>
        <v>257</v>
      </c>
      <c r="N61" s="62">
        <f t="shared" ref="N61:N70" si="7">B61*M61</f>
        <v>38550</v>
      </c>
    </row>
    <row r="62" spans="1:14" s="63" customFormat="1" x14ac:dyDescent="0.25">
      <c r="A62" s="24" t="s">
        <v>223</v>
      </c>
      <c r="B62" s="33">
        <v>200</v>
      </c>
      <c r="C62" s="50">
        <v>21</v>
      </c>
      <c r="D62" s="58">
        <v>2</v>
      </c>
      <c r="E62" s="58">
        <v>9</v>
      </c>
      <c r="F62" s="52"/>
      <c r="G62" s="50">
        <v>4</v>
      </c>
      <c r="H62" s="64">
        <v>6</v>
      </c>
      <c r="I62" s="52"/>
      <c r="J62" s="52"/>
      <c r="K62" s="52"/>
      <c r="L62" s="52">
        <f>Inventory!C76</f>
        <v>6</v>
      </c>
      <c r="M62" s="61">
        <f t="shared" si="6"/>
        <v>42</v>
      </c>
      <c r="N62" s="62">
        <f t="shared" si="7"/>
        <v>8400</v>
      </c>
    </row>
    <row r="63" spans="1:14" s="63" customFormat="1" x14ac:dyDescent="0.25">
      <c r="A63" s="24" t="s">
        <v>224</v>
      </c>
      <c r="B63" s="33">
        <v>150</v>
      </c>
      <c r="C63" s="50">
        <v>176</v>
      </c>
      <c r="D63" s="58">
        <v>8</v>
      </c>
      <c r="E63" s="58">
        <v>5</v>
      </c>
      <c r="F63" s="52">
        <v>5</v>
      </c>
      <c r="G63" s="50"/>
      <c r="H63" s="64">
        <v>6</v>
      </c>
      <c r="I63" s="52"/>
      <c r="J63" s="52"/>
      <c r="K63" s="52">
        <v>20</v>
      </c>
      <c r="L63" s="52">
        <f>Inventory!C9</f>
        <v>285</v>
      </c>
      <c r="M63" s="61">
        <f t="shared" si="6"/>
        <v>220</v>
      </c>
      <c r="N63" s="62">
        <f t="shared" si="7"/>
        <v>33000</v>
      </c>
    </row>
    <row r="64" spans="1:14" s="63" customFormat="1" x14ac:dyDescent="0.25">
      <c r="A64" s="24" t="s">
        <v>225</v>
      </c>
      <c r="B64" s="33">
        <v>106</v>
      </c>
      <c r="C64" s="50">
        <v>481</v>
      </c>
      <c r="D64" s="58">
        <v>200</v>
      </c>
      <c r="E64" s="58">
        <v>53</v>
      </c>
      <c r="F64" s="52">
        <v>85</v>
      </c>
      <c r="G64" s="50"/>
      <c r="H64" s="64"/>
      <c r="I64" s="52"/>
      <c r="J64" s="52"/>
      <c r="K64" s="52"/>
      <c r="L64" s="52"/>
      <c r="M64" s="61">
        <f t="shared" si="6"/>
        <v>819</v>
      </c>
      <c r="N64" s="62">
        <f t="shared" si="7"/>
        <v>86814</v>
      </c>
    </row>
    <row r="65" spans="1:14" s="63" customFormat="1" x14ac:dyDescent="0.25">
      <c r="A65" s="24" t="s">
        <v>226</v>
      </c>
      <c r="B65" s="33">
        <v>353</v>
      </c>
      <c r="C65" s="50">
        <v>80</v>
      </c>
      <c r="D65" s="58">
        <v>12</v>
      </c>
      <c r="E65" s="58"/>
      <c r="F65" s="52">
        <v>10</v>
      </c>
      <c r="G65" s="50">
        <v>4</v>
      </c>
      <c r="H65" s="64">
        <v>2</v>
      </c>
      <c r="I65" s="52"/>
      <c r="J65" s="52"/>
      <c r="K65" s="52">
        <v>4</v>
      </c>
      <c r="L65" s="52">
        <f>Inventory!C71</f>
        <v>3</v>
      </c>
      <c r="M65" s="61">
        <f t="shared" si="6"/>
        <v>112</v>
      </c>
      <c r="N65" s="62">
        <f t="shared" si="7"/>
        <v>39536</v>
      </c>
    </row>
    <row r="66" spans="1:14" s="63" customFormat="1" x14ac:dyDescent="0.25">
      <c r="A66" s="24" t="s">
        <v>227</v>
      </c>
      <c r="B66" s="33">
        <v>1100</v>
      </c>
      <c r="C66" s="64">
        <v>9</v>
      </c>
      <c r="D66" s="58"/>
      <c r="E66" s="58"/>
      <c r="F66" s="52"/>
      <c r="G66" s="64"/>
      <c r="H66" s="50">
        <v>2</v>
      </c>
      <c r="I66" s="52"/>
      <c r="J66" s="52"/>
      <c r="K66" s="52"/>
      <c r="L66" s="52"/>
      <c r="M66" s="61">
        <f t="shared" si="6"/>
        <v>11</v>
      </c>
      <c r="N66" s="62">
        <f t="shared" si="7"/>
        <v>12100</v>
      </c>
    </row>
    <row r="67" spans="1:14" s="63" customFormat="1" x14ac:dyDescent="0.25">
      <c r="A67" s="24" t="s">
        <v>228</v>
      </c>
      <c r="B67" s="33"/>
      <c r="C67" s="64">
        <v>9</v>
      </c>
      <c r="D67" s="64">
        <v>0</v>
      </c>
      <c r="E67" s="64">
        <v>0</v>
      </c>
      <c r="F67" s="52"/>
      <c r="G67" s="64"/>
      <c r="H67" s="50"/>
      <c r="I67" s="52"/>
      <c r="J67" s="52"/>
      <c r="K67" s="52"/>
      <c r="L67" s="52"/>
      <c r="M67" s="61">
        <f t="shared" si="6"/>
        <v>9</v>
      </c>
      <c r="N67" s="62">
        <f t="shared" si="7"/>
        <v>0</v>
      </c>
    </row>
    <row r="68" spans="1:14" s="63" customFormat="1" x14ac:dyDescent="0.25">
      <c r="A68" s="24" t="s">
        <v>229</v>
      </c>
      <c r="B68" s="33"/>
      <c r="C68" s="64">
        <v>4</v>
      </c>
      <c r="D68" s="64">
        <v>0</v>
      </c>
      <c r="E68" s="64">
        <v>0</v>
      </c>
      <c r="F68" s="52">
        <v>1</v>
      </c>
      <c r="G68" s="64"/>
      <c r="H68" s="50"/>
      <c r="I68" s="52"/>
      <c r="J68" s="52"/>
      <c r="K68" s="52"/>
      <c r="L68" s="52"/>
      <c r="M68" s="61">
        <f t="shared" si="6"/>
        <v>5</v>
      </c>
      <c r="N68" s="62">
        <f t="shared" si="7"/>
        <v>0</v>
      </c>
    </row>
    <row r="69" spans="1:14" s="63" customFormat="1" x14ac:dyDescent="0.25">
      <c r="A69" s="24" t="s">
        <v>230</v>
      </c>
      <c r="B69" s="33">
        <v>300</v>
      </c>
      <c r="C69" s="64">
        <v>5</v>
      </c>
      <c r="D69" s="64">
        <v>5</v>
      </c>
      <c r="E69" s="64">
        <v>0</v>
      </c>
      <c r="F69" s="52"/>
      <c r="G69" s="64">
        <v>1</v>
      </c>
      <c r="H69" s="50">
        <v>6</v>
      </c>
      <c r="I69" s="52"/>
      <c r="J69" s="52"/>
      <c r="K69" s="52"/>
      <c r="L69" s="52"/>
      <c r="M69" s="61">
        <f t="shared" si="6"/>
        <v>17</v>
      </c>
      <c r="N69" s="62">
        <f t="shared" si="7"/>
        <v>5100</v>
      </c>
    </row>
    <row r="70" spans="1:14" s="63" customFormat="1" x14ac:dyDescent="0.25">
      <c r="A70" s="24" t="s">
        <v>231</v>
      </c>
      <c r="B70" s="33">
        <v>150</v>
      </c>
      <c r="C70" s="64">
        <v>9</v>
      </c>
      <c r="D70" s="64">
        <v>0</v>
      </c>
      <c r="E70" s="64">
        <v>0</v>
      </c>
      <c r="F70" s="52"/>
      <c r="G70" s="50"/>
      <c r="H70" s="50">
        <v>6</v>
      </c>
      <c r="I70" s="52"/>
      <c r="J70" s="52"/>
      <c r="K70" s="52"/>
      <c r="L70" s="52"/>
      <c r="M70" s="61">
        <f t="shared" si="6"/>
        <v>15</v>
      </c>
      <c r="N70" s="62">
        <f t="shared" si="7"/>
        <v>2250</v>
      </c>
    </row>
    <row r="71" spans="1:14" x14ac:dyDescent="0.25">
      <c r="A71" s="95" t="s">
        <v>183</v>
      </c>
      <c r="B71" s="96"/>
      <c r="C71" s="96"/>
      <c r="D71" s="96"/>
      <c r="E71" s="96"/>
      <c r="F71" s="96"/>
      <c r="G71" s="96"/>
      <c r="H71" s="96"/>
      <c r="I71" s="96"/>
      <c r="J71" s="96"/>
      <c r="K71" s="96"/>
      <c r="L71" s="96"/>
      <c r="M71" s="97"/>
      <c r="N71" s="45">
        <f>SUM(N61:N70)</f>
        <v>225750</v>
      </c>
    </row>
    <row r="72" spans="1:14" x14ac:dyDescent="0.25">
      <c r="A72" s="101" t="s">
        <v>232</v>
      </c>
      <c r="B72" s="101"/>
      <c r="C72" s="101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</row>
    <row r="73" spans="1:14" x14ac:dyDescent="0.25">
      <c r="A73" s="94" t="s">
        <v>200</v>
      </c>
      <c r="B73" s="94"/>
      <c r="C73" s="94"/>
      <c r="D73" s="94"/>
      <c r="E73" s="94"/>
      <c r="F73" s="94"/>
      <c r="G73" s="94"/>
      <c r="H73" s="94"/>
      <c r="I73" s="94"/>
      <c r="J73" s="94"/>
      <c r="K73" s="94"/>
      <c r="L73" s="94"/>
      <c r="M73" s="94"/>
      <c r="N73" s="94"/>
    </row>
    <row r="74" spans="1:14" x14ac:dyDescent="0.25">
      <c r="A74" s="51" t="s">
        <v>233</v>
      </c>
      <c r="B74" s="34">
        <v>900</v>
      </c>
      <c r="C74" s="53">
        <v>66</v>
      </c>
      <c r="D74" s="59">
        <v>5</v>
      </c>
      <c r="E74" s="59">
        <v>7</v>
      </c>
      <c r="F74" s="55">
        <v>9</v>
      </c>
      <c r="G74" s="27">
        <v>2</v>
      </c>
      <c r="H74" s="27">
        <v>15</v>
      </c>
      <c r="I74" s="53">
        <v>2</v>
      </c>
      <c r="J74" s="53">
        <v>4</v>
      </c>
      <c r="K74" s="54">
        <v>41</v>
      </c>
      <c r="L74" s="54">
        <v>0</v>
      </c>
      <c r="M74" s="42">
        <f t="shared" ref="M74:M94" si="8">SUM(C74:K74)</f>
        <v>151</v>
      </c>
      <c r="N74" s="43">
        <f t="shared" ref="N74:N94" si="9">B74*M74</f>
        <v>135900</v>
      </c>
    </row>
    <row r="75" spans="1:14" x14ac:dyDescent="0.25">
      <c r="A75" s="51" t="s">
        <v>234</v>
      </c>
      <c r="B75" s="34">
        <v>900</v>
      </c>
      <c r="C75" s="53">
        <v>2</v>
      </c>
      <c r="D75" s="59">
        <v>1</v>
      </c>
      <c r="E75" s="59"/>
      <c r="F75" s="55"/>
      <c r="G75" s="27"/>
      <c r="H75" s="27"/>
      <c r="I75" s="53"/>
      <c r="J75" s="53"/>
      <c r="K75" s="54"/>
      <c r="L75" s="54"/>
      <c r="M75" s="42">
        <f t="shared" si="8"/>
        <v>3</v>
      </c>
      <c r="N75" s="43">
        <f t="shared" si="9"/>
        <v>2700</v>
      </c>
    </row>
    <row r="76" spans="1:14" x14ac:dyDescent="0.25">
      <c r="A76" s="51" t="s">
        <v>235</v>
      </c>
      <c r="B76" s="34">
        <v>6000</v>
      </c>
      <c r="C76" s="53">
        <v>1</v>
      </c>
      <c r="D76" s="59"/>
      <c r="E76" s="59"/>
      <c r="F76" s="55"/>
      <c r="G76" s="27"/>
      <c r="H76" s="27"/>
      <c r="I76" s="53"/>
      <c r="J76" s="53"/>
      <c r="K76" s="54"/>
      <c r="L76" s="54"/>
      <c r="M76" s="42">
        <f t="shared" si="8"/>
        <v>1</v>
      </c>
      <c r="N76" s="43">
        <f t="shared" si="9"/>
        <v>6000</v>
      </c>
    </row>
    <row r="77" spans="1:14" x14ac:dyDescent="0.25">
      <c r="A77" s="51" t="s">
        <v>236</v>
      </c>
      <c r="B77" s="34">
        <v>667</v>
      </c>
      <c r="C77" s="53">
        <v>90</v>
      </c>
      <c r="D77" s="59"/>
      <c r="E77" s="59">
        <v>3</v>
      </c>
      <c r="F77" s="55"/>
      <c r="G77" s="27"/>
      <c r="H77" s="27">
        <v>24</v>
      </c>
      <c r="I77" s="53"/>
      <c r="J77" s="53"/>
      <c r="K77" s="54"/>
      <c r="L77" s="54"/>
      <c r="M77" s="42">
        <f t="shared" si="8"/>
        <v>117</v>
      </c>
      <c r="N77" s="43">
        <f t="shared" si="9"/>
        <v>78039</v>
      </c>
    </row>
    <row r="78" spans="1:14" x14ac:dyDescent="0.25">
      <c r="A78" s="51" t="s">
        <v>237</v>
      </c>
      <c r="B78" s="34">
        <v>220</v>
      </c>
      <c r="C78" s="53">
        <v>48</v>
      </c>
      <c r="D78" s="59"/>
      <c r="E78" s="60">
        <v>30</v>
      </c>
      <c r="F78" s="55"/>
      <c r="G78" s="27"/>
      <c r="H78" s="27">
        <v>3</v>
      </c>
      <c r="I78" s="53"/>
      <c r="J78" s="53"/>
      <c r="K78" s="54"/>
      <c r="L78" s="54"/>
      <c r="M78" s="42">
        <f t="shared" si="8"/>
        <v>81</v>
      </c>
      <c r="N78" s="43">
        <f t="shared" si="9"/>
        <v>17820</v>
      </c>
    </row>
    <row r="79" spans="1:14" x14ac:dyDescent="0.25">
      <c r="A79" s="51" t="s">
        <v>238</v>
      </c>
      <c r="B79" s="34">
        <v>450</v>
      </c>
      <c r="C79" s="53">
        <v>4</v>
      </c>
      <c r="D79" s="59">
        <v>4</v>
      </c>
      <c r="E79" s="59">
        <v>5</v>
      </c>
      <c r="F79" s="55">
        <v>2</v>
      </c>
      <c r="G79" s="27">
        <v>1</v>
      </c>
      <c r="H79" s="27">
        <v>10</v>
      </c>
      <c r="I79" s="53">
        <v>2</v>
      </c>
      <c r="J79" s="53">
        <v>3</v>
      </c>
      <c r="K79" s="54">
        <v>16</v>
      </c>
      <c r="L79" s="54">
        <v>2</v>
      </c>
      <c r="M79" s="42">
        <f t="shared" si="8"/>
        <v>47</v>
      </c>
      <c r="N79" s="43">
        <f t="shared" si="9"/>
        <v>21150</v>
      </c>
    </row>
    <row r="80" spans="1:14" x14ac:dyDescent="0.25">
      <c r="A80" s="51" t="s">
        <v>239</v>
      </c>
      <c r="B80" s="34">
        <v>450</v>
      </c>
      <c r="C80" s="53">
        <v>0</v>
      </c>
      <c r="D80" s="59"/>
      <c r="E80" s="59">
        <v>1</v>
      </c>
      <c r="F80" s="22"/>
      <c r="G80" s="27"/>
      <c r="H80" s="27"/>
      <c r="I80" s="53">
        <v>1</v>
      </c>
      <c r="J80" s="53"/>
      <c r="K80" s="51"/>
      <c r="L80" s="51"/>
      <c r="M80" s="42">
        <f t="shared" si="8"/>
        <v>2</v>
      </c>
      <c r="N80" s="43">
        <f t="shared" si="9"/>
        <v>900</v>
      </c>
    </row>
    <row r="81" spans="1:14" x14ac:dyDescent="0.25">
      <c r="A81" s="51" t="s">
        <v>240</v>
      </c>
      <c r="B81" s="34">
        <v>544</v>
      </c>
      <c r="C81" s="53">
        <v>8</v>
      </c>
      <c r="D81" s="59"/>
      <c r="E81" s="59">
        <v>6</v>
      </c>
      <c r="F81" s="22"/>
      <c r="G81" s="27"/>
      <c r="H81" s="27"/>
      <c r="I81" s="53"/>
      <c r="J81" s="53"/>
      <c r="K81" s="51"/>
      <c r="L81" s="51"/>
      <c r="M81" s="42">
        <f t="shared" si="8"/>
        <v>14</v>
      </c>
      <c r="N81" s="43">
        <f t="shared" si="9"/>
        <v>7616</v>
      </c>
    </row>
    <row r="82" spans="1:14" x14ac:dyDescent="0.25">
      <c r="A82" s="51" t="s">
        <v>241</v>
      </c>
      <c r="B82" s="34">
        <v>544</v>
      </c>
      <c r="C82" s="53">
        <v>3</v>
      </c>
      <c r="D82" s="59"/>
      <c r="E82" s="59"/>
      <c r="F82" s="22"/>
      <c r="G82" s="27"/>
      <c r="H82" s="27"/>
      <c r="I82" s="53"/>
      <c r="J82" s="53"/>
      <c r="K82" s="51"/>
      <c r="L82" s="51"/>
      <c r="M82" s="42">
        <f t="shared" si="8"/>
        <v>3</v>
      </c>
      <c r="N82" s="43">
        <f t="shared" si="9"/>
        <v>1632</v>
      </c>
    </row>
    <row r="83" spans="1:14" x14ac:dyDescent="0.25">
      <c r="A83" s="51" t="s">
        <v>242</v>
      </c>
      <c r="B83" s="34">
        <v>1235</v>
      </c>
      <c r="C83" s="53">
        <v>0</v>
      </c>
      <c r="D83" s="59">
        <v>1</v>
      </c>
      <c r="E83" s="59">
        <v>2</v>
      </c>
      <c r="F83" s="22"/>
      <c r="G83" s="27"/>
      <c r="H83" s="27">
        <v>1</v>
      </c>
      <c r="I83" s="53"/>
      <c r="J83" s="53"/>
      <c r="K83" s="51"/>
      <c r="L83" s="51"/>
      <c r="M83" s="42">
        <f t="shared" si="8"/>
        <v>4</v>
      </c>
      <c r="N83" s="43">
        <f t="shared" si="9"/>
        <v>4940</v>
      </c>
    </row>
    <row r="84" spans="1:14" x14ac:dyDescent="0.25">
      <c r="A84" s="51" t="s">
        <v>243</v>
      </c>
      <c r="B84" s="34">
        <v>455</v>
      </c>
      <c r="C84" s="53">
        <v>3</v>
      </c>
      <c r="D84" s="59"/>
      <c r="E84" s="59"/>
      <c r="F84" s="22"/>
      <c r="G84" s="27"/>
      <c r="H84" s="27"/>
      <c r="I84" s="53"/>
      <c r="J84" s="53"/>
      <c r="K84" s="51"/>
      <c r="L84" s="51"/>
      <c r="M84" s="42">
        <f t="shared" si="8"/>
        <v>3</v>
      </c>
      <c r="N84" s="43">
        <f t="shared" si="9"/>
        <v>1365</v>
      </c>
    </row>
    <row r="85" spans="1:14" x14ac:dyDescent="0.25">
      <c r="A85" s="51" t="s">
        <v>244</v>
      </c>
      <c r="B85" s="34">
        <v>272</v>
      </c>
      <c r="C85" s="53">
        <v>10</v>
      </c>
      <c r="D85" s="59"/>
      <c r="E85" s="59"/>
      <c r="F85" s="22"/>
      <c r="G85" s="27"/>
      <c r="H85" s="27"/>
      <c r="I85" s="53"/>
      <c r="J85" s="53"/>
      <c r="K85" s="51"/>
      <c r="L85" s="51"/>
      <c r="M85" s="42">
        <f t="shared" si="8"/>
        <v>10</v>
      </c>
      <c r="N85" s="43">
        <f t="shared" si="9"/>
        <v>2720</v>
      </c>
    </row>
    <row r="86" spans="1:14" x14ac:dyDescent="0.25">
      <c r="A86" s="51" t="s">
        <v>245</v>
      </c>
      <c r="B86" s="34">
        <v>400</v>
      </c>
      <c r="C86" s="53">
        <v>2</v>
      </c>
      <c r="D86" s="59"/>
      <c r="E86" s="59"/>
      <c r="F86" s="22"/>
      <c r="G86" s="27"/>
      <c r="H86" s="27"/>
      <c r="I86" s="53"/>
      <c r="J86" s="53"/>
      <c r="K86" s="51"/>
      <c r="L86" s="51"/>
      <c r="M86" s="42">
        <f t="shared" si="8"/>
        <v>2</v>
      </c>
      <c r="N86" s="43">
        <f t="shared" si="9"/>
        <v>800</v>
      </c>
    </row>
    <row r="87" spans="1:14" x14ac:dyDescent="0.25">
      <c r="A87" s="51" t="s">
        <v>246</v>
      </c>
      <c r="B87" s="34">
        <v>350</v>
      </c>
      <c r="C87" s="53">
        <v>1</v>
      </c>
      <c r="D87" s="59"/>
      <c r="E87" s="59"/>
      <c r="F87" s="22"/>
      <c r="G87" s="27"/>
      <c r="H87" s="27"/>
      <c r="I87" s="53"/>
      <c r="J87" s="53"/>
      <c r="K87" s="51"/>
      <c r="L87" s="51"/>
      <c r="M87" s="42">
        <f t="shared" si="8"/>
        <v>1</v>
      </c>
      <c r="N87" s="43">
        <f t="shared" si="9"/>
        <v>350</v>
      </c>
    </row>
    <row r="88" spans="1:14" x14ac:dyDescent="0.25">
      <c r="A88" s="51" t="s">
        <v>247</v>
      </c>
      <c r="B88" s="34">
        <v>300</v>
      </c>
      <c r="C88" s="53">
        <v>2</v>
      </c>
      <c r="D88" s="59"/>
      <c r="E88" s="59"/>
      <c r="F88" s="22"/>
      <c r="G88" s="27"/>
      <c r="H88" s="27"/>
      <c r="I88" s="53"/>
      <c r="J88" s="53"/>
      <c r="K88" s="51"/>
      <c r="L88" s="51"/>
      <c r="M88" s="42">
        <f t="shared" si="8"/>
        <v>2</v>
      </c>
      <c r="N88" s="43">
        <f t="shared" si="9"/>
        <v>600</v>
      </c>
    </row>
    <row r="89" spans="1:14" x14ac:dyDescent="0.25">
      <c r="A89" s="51" t="s">
        <v>248</v>
      </c>
      <c r="B89" s="34">
        <v>200</v>
      </c>
      <c r="C89" s="53">
        <v>42</v>
      </c>
      <c r="D89" s="59"/>
      <c r="E89" s="59"/>
      <c r="F89" s="22"/>
      <c r="G89" s="27"/>
      <c r="H89" s="27"/>
      <c r="I89" s="53"/>
      <c r="J89" s="53"/>
      <c r="K89" s="51"/>
      <c r="L89" s="51"/>
      <c r="M89" s="42">
        <f t="shared" si="8"/>
        <v>42</v>
      </c>
      <c r="N89" s="43">
        <f t="shared" si="9"/>
        <v>8400</v>
      </c>
    </row>
    <row r="90" spans="1:14" x14ac:dyDescent="0.25">
      <c r="A90" s="51" t="s">
        <v>249</v>
      </c>
      <c r="B90" s="34">
        <v>400</v>
      </c>
      <c r="C90" s="53">
        <v>2</v>
      </c>
      <c r="D90" s="59"/>
      <c r="E90" s="59"/>
      <c r="F90" s="22"/>
      <c r="G90" s="27"/>
      <c r="H90" s="27"/>
      <c r="I90" s="53"/>
      <c r="J90" s="53"/>
      <c r="K90" s="51"/>
      <c r="L90" s="51"/>
      <c r="M90" s="42">
        <f t="shared" si="8"/>
        <v>2</v>
      </c>
      <c r="N90" s="43">
        <f t="shared" si="9"/>
        <v>800</v>
      </c>
    </row>
    <row r="91" spans="1:14" x14ac:dyDescent="0.25">
      <c r="A91" s="51" t="s">
        <v>250</v>
      </c>
      <c r="B91" s="34">
        <v>1200</v>
      </c>
      <c r="C91" s="53">
        <v>2</v>
      </c>
      <c r="D91" s="53"/>
      <c r="E91" s="53"/>
      <c r="F91" s="22"/>
      <c r="G91" s="27"/>
      <c r="H91" s="27"/>
      <c r="I91" s="53"/>
      <c r="J91" s="53"/>
      <c r="K91" s="51"/>
      <c r="L91" s="51"/>
      <c r="M91" s="42">
        <f t="shared" si="8"/>
        <v>2</v>
      </c>
      <c r="N91" s="43">
        <f t="shared" si="9"/>
        <v>2400</v>
      </c>
    </row>
    <row r="92" spans="1:14" x14ac:dyDescent="0.25">
      <c r="A92" s="51" t="s">
        <v>251</v>
      </c>
      <c r="B92" s="34">
        <v>600</v>
      </c>
      <c r="C92" s="53">
        <v>0</v>
      </c>
      <c r="D92" s="53"/>
      <c r="E92" s="53"/>
      <c r="F92" s="22"/>
      <c r="G92" s="27"/>
      <c r="H92" s="27"/>
      <c r="I92" s="53">
        <v>3</v>
      </c>
      <c r="J92" s="53"/>
      <c r="K92" s="51"/>
      <c r="L92" s="51"/>
      <c r="M92" s="42">
        <f t="shared" si="8"/>
        <v>3</v>
      </c>
      <c r="N92" s="43">
        <f t="shared" si="9"/>
        <v>1800</v>
      </c>
    </row>
    <row r="93" spans="1:14" x14ac:dyDescent="0.25">
      <c r="A93" s="51" t="s">
        <v>252</v>
      </c>
      <c r="B93" s="34">
        <v>1600</v>
      </c>
      <c r="C93" s="53">
        <v>5</v>
      </c>
      <c r="D93" s="53"/>
      <c r="E93" s="53"/>
      <c r="F93" s="22"/>
      <c r="G93" s="27"/>
      <c r="H93" s="27"/>
      <c r="I93" s="53"/>
      <c r="J93" s="53"/>
      <c r="K93" s="51"/>
      <c r="L93" s="51"/>
      <c r="M93" s="42">
        <f t="shared" si="8"/>
        <v>5</v>
      </c>
      <c r="N93" s="43">
        <f t="shared" si="9"/>
        <v>8000</v>
      </c>
    </row>
    <row r="94" spans="1:14" x14ac:dyDescent="0.25">
      <c r="A94" s="52" t="s">
        <v>253</v>
      </c>
      <c r="B94" s="35">
        <v>850</v>
      </c>
      <c r="C94" s="50"/>
      <c r="D94" s="50"/>
      <c r="E94" s="50"/>
      <c r="F94" s="50"/>
      <c r="G94" s="50">
        <v>1</v>
      </c>
      <c r="H94" s="50"/>
      <c r="I94" s="51"/>
      <c r="J94" s="51"/>
      <c r="K94" s="51"/>
      <c r="L94" s="51"/>
      <c r="M94" s="42">
        <f t="shared" si="8"/>
        <v>1</v>
      </c>
      <c r="N94" s="43">
        <f t="shared" si="9"/>
        <v>850</v>
      </c>
    </row>
    <row r="95" spans="1:14" x14ac:dyDescent="0.25">
      <c r="A95" s="95" t="s">
        <v>183</v>
      </c>
      <c r="B95" s="96"/>
      <c r="C95" s="96"/>
      <c r="D95" s="96"/>
      <c r="E95" s="96"/>
      <c r="F95" s="96"/>
      <c r="G95" s="96"/>
      <c r="H95" s="96"/>
      <c r="I95" s="96"/>
      <c r="J95" s="96"/>
      <c r="K95" s="96"/>
      <c r="L95" s="96"/>
      <c r="M95" s="97"/>
      <c r="N95" s="45">
        <f>SUM(N74:N94)</f>
        <v>304782</v>
      </c>
    </row>
    <row r="96" spans="1:14" x14ac:dyDescent="0.25">
      <c r="A96" s="101" t="s">
        <v>254</v>
      </c>
      <c r="B96" s="101"/>
      <c r="C96" s="101"/>
      <c r="D96" s="101"/>
      <c r="E96" s="101"/>
      <c r="F96" s="101"/>
      <c r="G96" s="101"/>
      <c r="H96" s="101"/>
      <c r="I96" s="101"/>
      <c r="J96" s="101"/>
      <c r="K96" s="101"/>
      <c r="L96" s="101"/>
      <c r="M96" s="101"/>
      <c r="N96" s="101"/>
    </row>
    <row r="97" spans="1:14" x14ac:dyDescent="0.25">
      <c r="A97" s="94" t="s">
        <v>200</v>
      </c>
      <c r="B97" s="94"/>
      <c r="C97" s="94"/>
      <c r="D97" s="94"/>
      <c r="E97" s="94"/>
      <c r="F97" s="94"/>
      <c r="G97" s="94"/>
      <c r="H97" s="94"/>
      <c r="I97" s="94"/>
      <c r="J97" s="94"/>
      <c r="K97" s="94"/>
      <c r="L97" s="94"/>
      <c r="M97" s="94"/>
      <c r="N97" s="94"/>
    </row>
    <row r="98" spans="1:14" x14ac:dyDescent="0.25">
      <c r="A98" s="51"/>
      <c r="B98" s="34"/>
      <c r="C98" s="27"/>
      <c r="D98" s="27"/>
      <c r="E98" s="27"/>
      <c r="F98" s="51"/>
      <c r="G98" s="51"/>
      <c r="H98" s="51"/>
      <c r="I98" s="51"/>
      <c r="J98" s="51"/>
      <c r="K98" s="51"/>
      <c r="L98" s="51"/>
      <c r="M98" s="42">
        <f t="shared" ref="M98:M107" si="10">SUM(C98:K98)</f>
        <v>0</v>
      </c>
      <c r="N98" s="43">
        <f t="shared" ref="N98:N107" si="11">B98*M98</f>
        <v>0</v>
      </c>
    </row>
    <row r="99" spans="1:14" x14ac:dyDescent="0.25">
      <c r="A99" s="51"/>
      <c r="B99" s="34"/>
      <c r="C99" s="27"/>
      <c r="D99" s="27"/>
      <c r="E99" s="27"/>
      <c r="F99" s="51"/>
      <c r="G99" s="51"/>
      <c r="H99" s="51"/>
      <c r="I99" s="51"/>
      <c r="J99" s="51"/>
      <c r="K99" s="51"/>
      <c r="L99" s="51"/>
      <c r="M99" s="42">
        <f t="shared" si="10"/>
        <v>0</v>
      </c>
      <c r="N99" s="43">
        <f t="shared" si="11"/>
        <v>0</v>
      </c>
    </row>
    <row r="100" spans="1:14" x14ac:dyDescent="0.25">
      <c r="A100" s="51"/>
      <c r="B100" s="34"/>
      <c r="C100" s="27"/>
      <c r="D100" s="27"/>
      <c r="E100" s="27"/>
      <c r="F100" s="51"/>
      <c r="G100" s="51"/>
      <c r="H100" s="51"/>
      <c r="I100" s="51"/>
      <c r="J100" s="51"/>
      <c r="K100" s="51"/>
      <c r="L100" s="51"/>
      <c r="M100" s="42">
        <f t="shared" si="10"/>
        <v>0</v>
      </c>
      <c r="N100" s="43">
        <f t="shared" si="11"/>
        <v>0</v>
      </c>
    </row>
    <row r="101" spans="1:14" x14ac:dyDescent="0.25">
      <c r="A101" s="51"/>
      <c r="B101" s="34"/>
      <c r="C101" s="27"/>
      <c r="D101" s="27"/>
      <c r="E101" s="27"/>
      <c r="F101" s="51"/>
      <c r="G101" s="51"/>
      <c r="H101" s="51"/>
      <c r="I101" s="51"/>
      <c r="J101" s="51"/>
      <c r="K101" s="51"/>
      <c r="L101" s="51"/>
      <c r="M101" s="42">
        <f t="shared" si="10"/>
        <v>0</v>
      </c>
      <c r="N101" s="43">
        <f t="shared" si="11"/>
        <v>0</v>
      </c>
    </row>
    <row r="102" spans="1:14" x14ac:dyDescent="0.25">
      <c r="A102" s="51"/>
      <c r="B102" s="34"/>
      <c r="C102" s="27"/>
      <c r="D102" s="27"/>
      <c r="E102" s="27"/>
      <c r="F102" s="51"/>
      <c r="G102" s="51"/>
      <c r="H102" s="51"/>
      <c r="I102" s="51"/>
      <c r="J102" s="51"/>
      <c r="K102" s="51"/>
      <c r="L102" s="51"/>
      <c r="M102" s="42">
        <f t="shared" si="10"/>
        <v>0</v>
      </c>
      <c r="N102" s="43">
        <f t="shared" si="11"/>
        <v>0</v>
      </c>
    </row>
    <row r="103" spans="1:14" x14ac:dyDescent="0.25">
      <c r="A103" s="51"/>
      <c r="B103" s="34"/>
      <c r="C103" s="27"/>
      <c r="D103" s="27"/>
      <c r="E103" s="27"/>
      <c r="F103" s="51"/>
      <c r="G103" s="51"/>
      <c r="H103" s="51"/>
      <c r="I103" s="51"/>
      <c r="J103" s="51"/>
      <c r="K103" s="51"/>
      <c r="L103" s="51"/>
      <c r="M103" s="42">
        <f t="shared" si="10"/>
        <v>0</v>
      </c>
      <c r="N103" s="43">
        <f t="shared" si="11"/>
        <v>0</v>
      </c>
    </row>
    <row r="104" spans="1:14" x14ac:dyDescent="0.25">
      <c r="A104" s="51"/>
      <c r="B104" s="34"/>
      <c r="C104" s="27"/>
      <c r="D104" s="27"/>
      <c r="E104" s="27"/>
      <c r="F104" s="51"/>
      <c r="G104" s="51"/>
      <c r="H104" s="51"/>
      <c r="I104" s="51"/>
      <c r="J104" s="51"/>
      <c r="K104" s="51"/>
      <c r="L104" s="51"/>
      <c r="M104" s="42">
        <f t="shared" si="10"/>
        <v>0</v>
      </c>
      <c r="N104" s="43">
        <f t="shared" si="11"/>
        <v>0</v>
      </c>
    </row>
    <row r="105" spans="1:14" x14ac:dyDescent="0.25">
      <c r="A105" s="51"/>
      <c r="B105" s="34"/>
      <c r="C105" s="27"/>
      <c r="D105" s="27"/>
      <c r="E105" s="27"/>
      <c r="F105" s="51"/>
      <c r="G105" s="51"/>
      <c r="H105" s="51"/>
      <c r="I105" s="51"/>
      <c r="J105" s="51"/>
      <c r="K105" s="51"/>
      <c r="L105" s="51"/>
      <c r="M105" s="42">
        <f t="shared" si="10"/>
        <v>0</v>
      </c>
      <c r="N105" s="43">
        <f t="shared" si="11"/>
        <v>0</v>
      </c>
    </row>
    <row r="106" spans="1:14" x14ac:dyDescent="0.25">
      <c r="A106" s="51"/>
      <c r="B106" s="34"/>
      <c r="C106" s="27"/>
      <c r="D106" s="27"/>
      <c r="E106" s="27"/>
      <c r="F106" s="51"/>
      <c r="G106" s="51"/>
      <c r="H106" s="51"/>
      <c r="I106" s="51"/>
      <c r="J106" s="51"/>
      <c r="K106" s="51"/>
      <c r="L106" s="51"/>
      <c r="M106" s="42">
        <f t="shared" si="10"/>
        <v>0</v>
      </c>
      <c r="N106" s="43">
        <f t="shared" si="11"/>
        <v>0</v>
      </c>
    </row>
    <row r="107" spans="1:14" x14ac:dyDescent="0.25">
      <c r="A107" s="51"/>
      <c r="B107" s="34"/>
      <c r="C107" s="27"/>
      <c r="D107" s="27"/>
      <c r="E107" s="27"/>
      <c r="F107" s="51"/>
      <c r="G107" s="51"/>
      <c r="H107" s="51"/>
      <c r="I107" s="51"/>
      <c r="J107" s="51"/>
      <c r="K107" s="51"/>
      <c r="L107" s="51"/>
      <c r="M107" s="42">
        <f t="shared" si="10"/>
        <v>0</v>
      </c>
      <c r="N107" s="43">
        <f t="shared" si="11"/>
        <v>0</v>
      </c>
    </row>
    <row r="108" spans="1:14" x14ac:dyDescent="0.25">
      <c r="A108" s="95" t="s">
        <v>183</v>
      </c>
      <c r="B108" s="96"/>
      <c r="C108" s="96"/>
      <c r="D108" s="96"/>
      <c r="E108" s="96"/>
      <c r="F108" s="96"/>
      <c r="G108" s="96"/>
      <c r="H108" s="96"/>
      <c r="I108" s="96"/>
      <c r="J108" s="96"/>
      <c r="K108" s="96"/>
      <c r="L108" s="96"/>
      <c r="M108" s="97"/>
      <c r="N108" s="45">
        <f>SUM(N98:N107)</f>
        <v>0</v>
      </c>
    </row>
    <row r="109" spans="1:14" x14ac:dyDescent="0.25">
      <c r="A109" s="98" t="s">
        <v>255</v>
      </c>
      <c r="B109" s="99"/>
      <c r="C109" s="99"/>
      <c r="D109" s="99"/>
      <c r="E109" s="99"/>
      <c r="F109" s="99"/>
      <c r="G109" s="99"/>
      <c r="H109" s="99"/>
      <c r="I109" s="99"/>
      <c r="J109" s="99"/>
      <c r="K109" s="99"/>
      <c r="L109" s="99"/>
      <c r="M109" s="100"/>
      <c r="N109" s="44">
        <f>SUM(N108,N95,N71,N58,N52,N33,N17)</f>
        <v>3016576</v>
      </c>
    </row>
  </sheetData>
  <mergeCells count="20">
    <mergeCell ref="A108:M108"/>
    <mergeCell ref="A109:M109"/>
    <mergeCell ref="A71:M71"/>
    <mergeCell ref="A72:N72"/>
    <mergeCell ref="A73:N73"/>
    <mergeCell ref="A95:M95"/>
    <mergeCell ref="A96:N96"/>
    <mergeCell ref="A97:N97"/>
    <mergeCell ref="A60:N60"/>
    <mergeCell ref="A17:M17"/>
    <mergeCell ref="A18:N18"/>
    <mergeCell ref="A19:N19"/>
    <mergeCell ref="A33:M33"/>
    <mergeCell ref="A34:N34"/>
    <mergeCell ref="A35:N35"/>
    <mergeCell ref="A52:M52"/>
    <mergeCell ref="A53:N53"/>
    <mergeCell ref="A54:N54"/>
    <mergeCell ref="A58:M58"/>
    <mergeCell ref="A59:N5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Inventory</vt:lpstr>
      <vt:lpstr>Computers</vt:lpstr>
      <vt:lpstr>Monitors</vt:lpstr>
      <vt:lpstr>Scanners-Printers</vt:lpstr>
      <vt:lpstr>Angie</vt:lpstr>
    </vt:vector>
  </TitlesOfParts>
  <Company>UNC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Mclaurin, Adrian</dc:creator>
  <cp:lastModifiedBy>Mclaurin, Adrian</cp:lastModifiedBy>
  <cp:lastPrinted>2020-12-18T15:53:42Z</cp:lastPrinted>
  <dcterms:created xsi:type="dcterms:W3CDTF">2020-12-04T19:34:32Z</dcterms:created>
  <dcterms:modified xsi:type="dcterms:W3CDTF">2021-03-04T20:07:21Z</dcterms:modified>
</cp:coreProperties>
</file>